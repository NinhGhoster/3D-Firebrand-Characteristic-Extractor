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inhn\Downloads\3D firebrand\"/>
    </mc:Choice>
  </mc:AlternateContent>
  <xr:revisionPtr revIDLastSave="0" documentId="13_ncr:1_{23183450-677B-4EBB-8F6A-88775C45D5FC}" xr6:coauthVersionLast="47" xr6:coauthVersionMax="47" xr10:uidLastSave="{00000000-0000-0000-0000-000000000000}"/>
  <bookViews>
    <workbookView xWindow="2880" yWindow="1680" windowWidth="25920" windowHeight="14520" activeTab="3" xr2:uid="{C6619CB9-266E-4BD6-942B-BB28C92AFE2D}"/>
  </bookViews>
  <sheets>
    <sheet name="1" sheetId="1" r:id="rId1"/>
    <sheet name="2" sheetId="2" r:id="rId2"/>
    <sheet name="3" sheetId="3" r:id="rId3"/>
    <sheet name="Sheet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3" l="1"/>
  <c r="N18" i="3"/>
  <c r="K18" i="3"/>
  <c r="G18" i="3"/>
  <c r="F18" i="3"/>
  <c r="F18" i="5"/>
  <c r="G18" i="5"/>
  <c r="N18" i="5"/>
  <c r="Q18" i="5"/>
  <c r="K18" i="5"/>
  <c r="G17" i="5"/>
  <c r="F17" i="5"/>
  <c r="Q16" i="5"/>
  <c r="N16" i="5"/>
  <c r="K16" i="5"/>
  <c r="G16" i="5"/>
  <c r="F16" i="5"/>
  <c r="Q15" i="5"/>
  <c r="N15" i="5"/>
  <c r="K15" i="5"/>
  <c r="G15" i="5"/>
  <c r="F15" i="5"/>
  <c r="Q14" i="5"/>
  <c r="N14" i="5"/>
  <c r="K14" i="5"/>
  <c r="G14" i="5"/>
  <c r="F14" i="5"/>
  <c r="Q9" i="5"/>
  <c r="N9" i="5"/>
  <c r="K9" i="5"/>
  <c r="G9" i="5"/>
  <c r="F9" i="5"/>
  <c r="Q8" i="5"/>
  <c r="N8" i="5"/>
  <c r="K8" i="5"/>
  <c r="G8" i="5"/>
  <c r="F8" i="5"/>
  <c r="Q7" i="5"/>
  <c r="N7" i="5"/>
  <c r="K7" i="5"/>
  <c r="G7" i="5"/>
  <c r="F7" i="5"/>
  <c r="Q5" i="5"/>
  <c r="N5" i="5"/>
  <c r="K5" i="5"/>
  <c r="G5" i="5"/>
  <c r="F5" i="5"/>
  <c r="Q4" i="5"/>
  <c r="N4" i="5"/>
  <c r="K4" i="5"/>
  <c r="G4" i="5"/>
  <c r="F4" i="5"/>
  <c r="Q3" i="5"/>
  <c r="N3" i="5"/>
  <c r="K3" i="5"/>
  <c r="G3" i="5"/>
  <c r="F3" i="5"/>
  <c r="Q2" i="5"/>
  <c r="N2" i="5"/>
  <c r="K2" i="5"/>
  <c r="G2" i="5"/>
  <c r="F2" i="5"/>
  <c r="Q17" i="3"/>
  <c r="N17" i="3"/>
  <c r="K17" i="3"/>
  <c r="Q13" i="3"/>
  <c r="N13" i="3"/>
  <c r="K13" i="3"/>
  <c r="Q10" i="3"/>
  <c r="N10" i="3"/>
  <c r="K10" i="3"/>
  <c r="Q3" i="3"/>
  <c r="Q4" i="3"/>
  <c r="Q5" i="3"/>
  <c r="Q7" i="3"/>
  <c r="Q8" i="3"/>
  <c r="Q9" i="3"/>
  <c r="Q11" i="3"/>
  <c r="Q12" i="3"/>
  <c r="Q14" i="3"/>
  <c r="Q15" i="3"/>
  <c r="Q16" i="3"/>
  <c r="N3" i="3"/>
  <c r="N4" i="3"/>
  <c r="N5" i="3"/>
  <c r="N7" i="3"/>
  <c r="N8" i="3"/>
  <c r="N9" i="3"/>
  <c r="N11" i="3"/>
  <c r="N12" i="3"/>
  <c r="N14" i="3"/>
  <c r="N15" i="3"/>
  <c r="N16" i="3"/>
  <c r="K3" i="3"/>
  <c r="K4" i="3"/>
  <c r="K5" i="3"/>
  <c r="K7" i="3"/>
  <c r="K8" i="3"/>
  <c r="K9" i="3"/>
  <c r="K11" i="3"/>
  <c r="K12" i="3"/>
  <c r="K14" i="3"/>
  <c r="K15" i="3"/>
  <c r="K16" i="3"/>
  <c r="K2" i="3"/>
  <c r="G16" i="3"/>
  <c r="F16" i="3"/>
  <c r="G15" i="3"/>
  <c r="F15" i="3"/>
  <c r="G14" i="3"/>
  <c r="F14" i="3"/>
  <c r="G12" i="3"/>
  <c r="F12" i="3"/>
  <c r="G11" i="3"/>
  <c r="F11" i="3"/>
  <c r="G9" i="3"/>
  <c r="F9" i="3"/>
  <c r="G8" i="3"/>
  <c r="F8" i="3"/>
  <c r="G7" i="3"/>
  <c r="F7" i="3"/>
  <c r="G5" i="3"/>
  <c r="F5" i="3"/>
  <c r="G4" i="3"/>
  <c r="F4" i="3"/>
  <c r="G3" i="3"/>
  <c r="F3" i="3"/>
  <c r="Q2" i="3"/>
  <c r="N2" i="3"/>
  <c r="G2" i="3"/>
  <c r="F2" i="3"/>
  <c r="Q3" i="2"/>
  <c r="Q4" i="2"/>
  <c r="Q5" i="2"/>
  <c r="Q6" i="2"/>
  <c r="Q7" i="2"/>
  <c r="Q8" i="2"/>
  <c r="Q9" i="2"/>
  <c r="Q10" i="2"/>
  <c r="Q11" i="2"/>
  <c r="Q12" i="2"/>
  <c r="Q13" i="2"/>
  <c r="Q2" i="2"/>
  <c r="K3" i="2"/>
  <c r="K4" i="2"/>
  <c r="K5" i="2"/>
  <c r="K6" i="2"/>
  <c r="K7" i="2"/>
  <c r="K8" i="2"/>
  <c r="K9" i="2"/>
  <c r="K10" i="2"/>
  <c r="K11" i="2"/>
  <c r="K12" i="2"/>
  <c r="K13" i="2"/>
  <c r="K2" i="2"/>
  <c r="G3" i="2"/>
  <c r="G4" i="2"/>
  <c r="G5" i="2"/>
  <c r="G6" i="2"/>
  <c r="G7" i="2"/>
  <c r="G8" i="2"/>
  <c r="G9" i="2"/>
  <c r="G10" i="2"/>
  <c r="G11" i="2"/>
  <c r="G12" i="2"/>
  <c r="G13" i="2"/>
  <c r="G2" i="2"/>
  <c r="F3" i="2"/>
  <c r="F4" i="2"/>
  <c r="F5" i="2"/>
  <c r="F6" i="2"/>
  <c r="F7" i="2"/>
  <c r="F8" i="2"/>
  <c r="F9" i="2"/>
  <c r="F10" i="2"/>
  <c r="F11" i="2"/>
  <c r="F12" i="2"/>
  <c r="F13" i="2"/>
  <c r="F2" i="2"/>
  <c r="N3" i="2"/>
  <c r="N4" i="2"/>
  <c r="N5" i="2"/>
  <c r="N6" i="2"/>
  <c r="N7" i="2"/>
  <c r="N8" i="2"/>
  <c r="N9" i="2"/>
  <c r="N10" i="2"/>
  <c r="N11" i="2"/>
  <c r="N12" i="2"/>
  <c r="N13" i="2"/>
  <c r="N2" i="2"/>
  <c r="I12" i="1"/>
  <c r="I13" i="1"/>
  <c r="J13" i="1"/>
  <c r="J12" i="1"/>
  <c r="I2" i="1"/>
  <c r="J2" i="1"/>
  <c r="J3" i="1"/>
  <c r="J4" i="1"/>
  <c r="J5" i="1"/>
  <c r="J6" i="1"/>
  <c r="J7" i="1"/>
  <c r="J8" i="1"/>
  <c r="J9" i="1"/>
  <c r="J10" i="1"/>
  <c r="J11" i="1"/>
  <c r="I3" i="1"/>
  <c r="I4" i="1"/>
  <c r="I5" i="1"/>
  <c r="I6" i="1"/>
  <c r="I7" i="1"/>
  <c r="I8" i="1"/>
  <c r="I9" i="1"/>
  <c r="I10" i="1"/>
  <c r="I11" i="1"/>
  <c r="K17" i="5" l="1"/>
  <c r="K6" i="5"/>
  <c r="Q17" i="5"/>
  <c r="N17" i="5"/>
  <c r="N6" i="5"/>
  <c r="Q6" i="5"/>
  <c r="K10" i="5"/>
  <c r="N10" i="5"/>
  <c r="Q10" i="5"/>
  <c r="N6" i="3"/>
  <c r="K6" i="3"/>
  <c r="Q6" i="3"/>
  <c r="G14" i="2"/>
  <c r="F14" i="2"/>
  <c r="K14" i="2"/>
  <c r="Q14" i="2"/>
  <c r="N14" i="2"/>
</calcChain>
</file>

<file path=xl/sharedStrings.xml><?xml version="1.0" encoding="utf-8"?>
<sst xmlns="http://schemas.openxmlformats.org/spreadsheetml/2006/main" count="154" uniqueCount="38">
  <si>
    <t>File</t>
  </si>
  <si>
    <t>Volume</t>
  </si>
  <si>
    <t>Surface Area</t>
  </si>
  <si>
    <t>Bounding Box Length</t>
  </si>
  <si>
    <t>Bounding Box Width</t>
  </si>
  <si>
    <t>Bounding Box Height</t>
  </si>
  <si>
    <t>V</t>
  </si>
  <si>
    <t>A</t>
  </si>
  <si>
    <t>object_0.ply</t>
  </si>
  <si>
    <t>object_1.ply</t>
  </si>
  <si>
    <t>object_2.ply</t>
  </si>
  <si>
    <t>object_3.ply</t>
  </si>
  <si>
    <t>object_4.ply</t>
  </si>
  <si>
    <t>object_5.ply</t>
  </si>
  <si>
    <t>object_6.ply</t>
  </si>
  <si>
    <t>VRA</t>
  </si>
  <si>
    <t>ARA</t>
  </si>
  <si>
    <t>small disk</t>
  </si>
  <si>
    <t>big cube</t>
  </si>
  <si>
    <t>medium cuboid</t>
  </si>
  <si>
    <t>smallest cuboid</t>
  </si>
  <si>
    <t>medium cylinder</t>
  </si>
  <si>
    <t>medium disk</t>
  </si>
  <si>
    <t>small cube</t>
  </si>
  <si>
    <t>longest cylinder</t>
  </si>
  <si>
    <t>biggest disk</t>
  </si>
  <si>
    <t>biggest cuboid</t>
  </si>
  <si>
    <t>smallest disk</t>
  </si>
  <si>
    <t>shortest cylinder</t>
  </si>
  <si>
    <t>RA length 1</t>
  </si>
  <si>
    <t>RA length 2</t>
  </si>
  <si>
    <t>RA length 3</t>
  </si>
  <si>
    <t>Type</t>
  </si>
  <si>
    <t xml:space="preserve"> measured</t>
  </si>
  <si>
    <t>Algorithm</t>
  </si>
  <si>
    <t>mesurea</t>
  </si>
  <si>
    <t>object_11.ply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</si>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</sst>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10" fontId="0" fillId="0" borderId="0" xfId="0" applyNumberFormat="1"/>
    <xf numFmtId="0" fontId="0" fillId="0" borderId="11" xfId="0" applyBorder="1"/>
    <xf numFmtId="0" fontId="0" fillId="0" borderId="12" xfId="0" applyBorder="1"/>
    <xf numFmtId="10" fontId="0" fillId="0" borderId="12" xfId="0" applyNumberFormat="1" applyBorder="1"/>
    <xf numFmtId="0" fontId="0" fillId="33" borderId="10" xfId="0" applyFill="1" applyBorder="1"/>
    <xf numFmtId="10" fontId="0" fillId="33" borderId="10" xfId="0" applyNumberFormat="1" applyFill="1" applyBorder="1"/>
    <xf numFmtId="0" fontId="0" fillId="33" borderId="13" xfId="0" applyFill="1" applyBorder="1"/>
    <xf numFmtId="0" fontId="0" fillId="35" borderId="10" xfId="0" applyFill="1" applyBorder="1"/>
    <xf numFmtId="10" fontId="0" fillId="35" borderId="10" xfId="0" applyNumberFormat="1" applyFill="1" applyBorder="1"/>
    <xf numFmtId="0" fontId="0" fillId="34" borderId="10" xfId="0" applyFill="1" applyBorder="1"/>
    <xf numFmtId="10" fontId="0" fillId="34" borderId="10" xfId="0" applyNumberFormat="1" applyFill="1" applyBorder="1"/>
    <xf numFmtId="0" fontId="0" fillId="36" borderId="10" xfId="0" applyFill="1" applyBorder="1"/>
    <xf numFmtId="10" fontId="0" fillId="36" borderId="10" xfId="0" applyNumberFormat="1" applyFill="1" applyBorder="1"/>
    <xf numFmtId="0" fontId="0" fillId="34" borderId="13" xfId="0" applyFill="1" applyBorder="1"/>
    <xf numFmtId="10" fontId="0" fillId="34" borderId="17" xfId="0" applyNumberFormat="1" applyFill="1" applyBorder="1"/>
    <xf numFmtId="0" fontId="0" fillId="36" borderId="13" xfId="0" applyFill="1" applyBorder="1"/>
    <xf numFmtId="10" fontId="0" fillId="36" borderId="17" xfId="0" applyNumberFormat="1" applyFill="1" applyBorder="1"/>
    <xf numFmtId="0" fontId="0" fillId="35" borderId="13" xfId="0" applyFill="1" applyBorder="1"/>
    <xf numFmtId="10" fontId="0" fillId="35" borderId="17" xfId="0" applyNumberFormat="1" applyFill="1" applyBorder="1"/>
    <xf numFmtId="0" fontId="0" fillId="35" borderId="14" xfId="0" applyFill="1" applyBorder="1"/>
    <xf numFmtId="0" fontId="0" fillId="35" borderId="15" xfId="0" applyFill="1" applyBorder="1"/>
    <xf numFmtId="10" fontId="0" fillId="35" borderId="15" xfId="0" applyNumberFormat="1" applyFill="1" applyBorder="1"/>
    <xf numFmtId="0" fontId="0" fillId="0" borderId="19" xfId="0" applyBorder="1"/>
    <xf numFmtId="0" fontId="0" fillId="0" borderId="20" xfId="0" applyBorder="1"/>
    <xf numFmtId="10" fontId="0" fillId="0" borderId="20" xfId="0" applyNumberFormat="1" applyBorder="1"/>
    <xf numFmtId="10" fontId="0" fillId="0" borderId="21" xfId="0" applyNumberFormat="1" applyBorder="1"/>
    <xf numFmtId="0" fontId="0" fillId="37" borderId="11" xfId="0" applyFill="1" applyBorder="1"/>
    <xf numFmtId="0" fontId="0" fillId="37" borderId="12" xfId="0" applyFill="1" applyBorder="1"/>
    <xf numFmtId="10" fontId="0" fillId="37" borderId="12" xfId="0" applyNumberFormat="1" applyFill="1" applyBorder="1"/>
    <xf numFmtId="10" fontId="0" fillId="37" borderId="16" xfId="0" applyNumberFormat="1" applyFill="1" applyBorder="1"/>
    <xf numFmtId="0" fontId="0" fillId="37" borderId="13" xfId="0" applyFill="1" applyBorder="1"/>
    <xf numFmtId="0" fontId="0" fillId="37" borderId="10" xfId="0" applyFill="1" applyBorder="1"/>
    <xf numFmtId="10" fontId="0" fillId="37" borderId="10" xfId="0" applyNumberFormat="1" applyFill="1" applyBorder="1"/>
    <xf numFmtId="10" fontId="0" fillId="37" borderId="17" xfId="0" applyNumberFormat="1" applyFill="1" applyBorder="1"/>
    <xf numFmtId="0" fontId="0" fillId="36" borderId="14" xfId="0" applyFill="1" applyBorder="1"/>
    <xf numFmtId="0" fontId="0" fillId="36" borderId="15" xfId="0" applyFill="1" applyBorder="1"/>
    <xf numFmtId="10" fontId="0" fillId="36" borderId="15" xfId="0" applyNumberFormat="1" applyFill="1" applyBorder="1"/>
    <xf numFmtId="10" fontId="0" fillId="36" borderId="18" xfId="0" applyNumberFormat="1" applyFill="1" applyBorder="1"/>
    <xf numFmtId="0" fontId="0" fillId="0" borderId="16" xfId="0" applyBorder="1"/>
    <xf numFmtId="0" fontId="0" fillId="35" borderId="17" xfId="0" applyFill="1" applyBorder="1"/>
    <xf numFmtId="0" fontId="0" fillId="35" borderId="18" xfId="0" applyFill="1" applyBorder="1"/>
    <xf numFmtId="10" fontId="0" fillId="37" borderId="22" xfId="0" applyNumberFormat="1" applyFill="1" applyBorder="1"/>
    <xf numFmtId="0" fontId="0" fillId="36" borderId="0" xfId="0" applyFill="1"/>
    <xf numFmtId="10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5D38-9F6C-4FC3-AB26-05F7BEC342FB}">
  <dimension ref="A1:K13"/>
  <sheetViews>
    <sheetView zoomScale="145" zoomScaleNormal="145" workbookViewId="0">
      <selection activeCell="E23" sqref="E23"/>
    </sheetView>
  </sheetViews>
  <sheetFormatPr defaultRowHeight="15" x14ac:dyDescent="0.25"/>
  <cols>
    <col min="1" max="1" width="21.140625" customWidth="1"/>
    <col min="6" max="6" width="14.140625" customWidth="1"/>
    <col min="9" max="10" width="9.140625" style="1"/>
    <col min="11" max="11" width="16.28515625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15</v>
      </c>
      <c r="J1" s="4" t="s">
        <v>16</v>
      </c>
      <c r="K1" s="39"/>
    </row>
    <row r="2" spans="1:11" x14ac:dyDescent="0.25">
      <c r="A2" s="16" t="s">
        <v>8</v>
      </c>
      <c r="B2" s="12">
        <v>1493.5619999999999</v>
      </c>
      <c r="C2" s="12">
        <v>1070.7470000000001</v>
      </c>
      <c r="D2" s="12">
        <v>40.146000000000001</v>
      </c>
      <c r="E2" s="12">
        <v>5.375</v>
      </c>
      <c r="F2" s="12">
        <v>8.4589999999999996</v>
      </c>
      <c r="G2" s="12">
        <v>1737.22</v>
      </c>
      <c r="H2" s="12">
        <v>1164.8751999999999</v>
      </c>
      <c r="I2" s="13">
        <f>ABS(B2/G2-1)</f>
        <v>0.14025742277892272</v>
      </c>
      <c r="J2" s="13">
        <f>ABS(C2/H2-1)</f>
        <v>8.0805394431952782E-2</v>
      </c>
      <c r="K2" s="40" t="s">
        <v>19</v>
      </c>
    </row>
    <row r="3" spans="1:11" x14ac:dyDescent="0.25">
      <c r="A3" s="16" t="s">
        <v>9</v>
      </c>
      <c r="B3" s="12">
        <v>1079.2370000000001</v>
      </c>
      <c r="C3" s="12">
        <v>707.34</v>
      </c>
      <c r="D3" s="12">
        <v>29.991</v>
      </c>
      <c r="E3" s="12">
        <v>7.44</v>
      </c>
      <c r="F3" s="12">
        <v>7.0869999999999997</v>
      </c>
      <c r="G3" s="12">
        <v>1164.6500000000001</v>
      </c>
      <c r="H3" s="12">
        <v>739.59</v>
      </c>
      <c r="I3" s="13">
        <f t="shared" ref="I3:I13" si="0">ABS(B3/G3-1)</f>
        <v>7.3337912677628458E-2</v>
      </c>
      <c r="J3" s="13">
        <f t="shared" ref="J3:J13" si="1">ABS(C3/H3-1)</f>
        <v>4.3605240741491857E-2</v>
      </c>
      <c r="K3" s="40" t="s">
        <v>28</v>
      </c>
    </row>
    <row r="4" spans="1:11" x14ac:dyDescent="0.25">
      <c r="A4" s="16" t="s">
        <v>10</v>
      </c>
      <c r="B4" s="12">
        <v>358.851</v>
      </c>
      <c r="C4" s="12">
        <v>297.16000000000003</v>
      </c>
      <c r="D4" s="12">
        <v>10.010999999999999</v>
      </c>
      <c r="E4" s="12">
        <v>10.583</v>
      </c>
      <c r="F4" s="12">
        <v>5.4909999999999997</v>
      </c>
      <c r="G4" s="12">
        <v>380.03</v>
      </c>
      <c r="H4" s="12">
        <v>305.23</v>
      </c>
      <c r="I4" s="13">
        <f t="shared" si="0"/>
        <v>5.5729810804410085E-2</v>
      </c>
      <c r="J4" s="13">
        <f t="shared" si="1"/>
        <v>2.643907872751694E-2</v>
      </c>
      <c r="K4" s="40" t="s">
        <v>27</v>
      </c>
    </row>
    <row r="5" spans="1:11" x14ac:dyDescent="0.25">
      <c r="A5" s="16" t="s">
        <v>11</v>
      </c>
      <c r="B5" s="12">
        <v>991.54700000000003</v>
      </c>
      <c r="C5" s="12">
        <v>574.25</v>
      </c>
      <c r="D5" s="12">
        <v>10.465</v>
      </c>
      <c r="E5" s="12">
        <v>10.680999999999999</v>
      </c>
      <c r="F5" s="12">
        <v>10.204000000000001</v>
      </c>
      <c r="G5" s="12">
        <v>1109.1400000000001</v>
      </c>
      <c r="H5" s="12">
        <v>643.02</v>
      </c>
      <c r="I5" s="13">
        <f t="shared" si="0"/>
        <v>0.10602178264240769</v>
      </c>
      <c r="J5" s="13">
        <f t="shared" si="1"/>
        <v>0.10694846194519603</v>
      </c>
      <c r="K5" s="40" t="s">
        <v>23</v>
      </c>
    </row>
    <row r="6" spans="1:11" x14ac:dyDescent="0.25">
      <c r="A6" s="16" t="s">
        <v>12</v>
      </c>
      <c r="B6" s="12">
        <v>1457.346</v>
      </c>
      <c r="C6" s="12">
        <v>905.38800000000003</v>
      </c>
      <c r="D6" s="12">
        <v>20.074999999999999</v>
      </c>
      <c r="E6" s="12">
        <v>19.914999999999999</v>
      </c>
      <c r="F6" s="12">
        <v>5.8890000000000002</v>
      </c>
      <c r="G6" s="12">
        <v>1590.85</v>
      </c>
      <c r="H6" s="12">
        <v>941.36</v>
      </c>
      <c r="I6" s="13">
        <f t="shared" si="0"/>
        <v>8.391991702548951E-2</v>
      </c>
      <c r="J6" s="13">
        <f t="shared" si="1"/>
        <v>3.8212798504291601E-2</v>
      </c>
      <c r="K6" s="40" t="s">
        <v>17</v>
      </c>
    </row>
    <row r="7" spans="1:11" x14ac:dyDescent="0.25">
      <c r="A7" s="16" t="s">
        <v>13</v>
      </c>
      <c r="B7" s="12">
        <v>3010.4490000000001</v>
      </c>
      <c r="C7" s="12">
        <v>1381.509</v>
      </c>
      <c r="D7" s="12">
        <v>40.253999999999998</v>
      </c>
      <c r="E7" s="12">
        <v>10.141</v>
      </c>
      <c r="F7" s="12">
        <v>10.25</v>
      </c>
      <c r="G7" s="12">
        <v>3204.03</v>
      </c>
      <c r="H7" s="12">
        <v>1431.04</v>
      </c>
      <c r="I7" s="13">
        <f t="shared" si="0"/>
        <v>6.0417973614479314E-2</v>
      </c>
      <c r="J7" s="13">
        <f t="shared" si="1"/>
        <v>3.4611890652951671E-2</v>
      </c>
      <c r="K7" s="40" t="s">
        <v>21</v>
      </c>
    </row>
    <row r="8" spans="1:11" x14ac:dyDescent="0.25">
      <c r="A8" s="16" t="s">
        <v>14</v>
      </c>
      <c r="B8" s="12">
        <v>966.99</v>
      </c>
      <c r="C8" s="12">
        <v>673.726</v>
      </c>
      <c r="D8" s="12">
        <v>20.158000000000001</v>
      </c>
      <c r="E8" s="12">
        <v>5.633</v>
      </c>
      <c r="F8" s="12">
        <v>10.307</v>
      </c>
      <c r="G8" s="12">
        <v>1050.9000000000001</v>
      </c>
      <c r="H8" s="12">
        <v>717.44</v>
      </c>
      <c r="I8" s="13">
        <f t="shared" si="0"/>
        <v>7.9845846417356592E-2</v>
      </c>
      <c r="J8" s="13">
        <f t="shared" si="1"/>
        <v>6.0930530776092895E-2</v>
      </c>
      <c r="K8" s="40" t="s">
        <v>20</v>
      </c>
    </row>
    <row r="9" spans="1:11" x14ac:dyDescent="0.25">
      <c r="A9" s="7" t="s">
        <v>8</v>
      </c>
      <c r="B9" s="5">
        <v>8482.2630000000008</v>
      </c>
      <c r="C9" s="5">
        <v>2667.703</v>
      </c>
      <c r="D9" s="5">
        <v>15.313000000000001</v>
      </c>
      <c r="E9" s="5">
        <v>15.586</v>
      </c>
      <c r="F9" s="5">
        <v>50.468000000000004</v>
      </c>
      <c r="G9" s="5">
        <v>8908.92</v>
      </c>
      <c r="H9" s="5">
        <v>2726.92</v>
      </c>
      <c r="I9" s="6">
        <f t="shared" si="0"/>
        <v>4.7890990153688584E-2</v>
      </c>
      <c r="J9" s="6">
        <f t="shared" si="1"/>
        <v>2.1715708564974401E-2</v>
      </c>
      <c r="K9" s="40" t="s">
        <v>24</v>
      </c>
    </row>
    <row r="10" spans="1:11" x14ac:dyDescent="0.25">
      <c r="A10" s="7" t="s">
        <v>9</v>
      </c>
      <c r="B10" s="5">
        <v>8051.8329999999996</v>
      </c>
      <c r="C10" s="5">
        <v>2372.5430000000001</v>
      </c>
      <c r="D10" s="5">
        <v>21.221</v>
      </c>
      <c r="E10" s="5">
        <v>20.469000000000001</v>
      </c>
      <c r="F10" s="5">
        <v>20.457999999999998</v>
      </c>
      <c r="G10" s="5">
        <v>8328.2099999999991</v>
      </c>
      <c r="H10" s="5">
        <v>2465.2199999999998</v>
      </c>
      <c r="I10" s="6">
        <f t="shared" si="0"/>
        <v>3.3185642533029247E-2</v>
      </c>
      <c r="J10" s="6">
        <f t="shared" si="1"/>
        <v>3.7593805015373793E-2</v>
      </c>
      <c r="K10" s="40" t="s">
        <v>18</v>
      </c>
    </row>
    <row r="11" spans="1:11" x14ac:dyDescent="0.25">
      <c r="A11" s="7" t="s">
        <v>10</v>
      </c>
      <c r="B11" s="5">
        <v>6912.0529999999999</v>
      </c>
      <c r="C11" s="5">
        <v>2309.665</v>
      </c>
      <c r="D11" s="5">
        <v>30.190999999999999</v>
      </c>
      <c r="E11" s="5">
        <v>30.041</v>
      </c>
      <c r="F11" s="5">
        <v>10.553000000000001</v>
      </c>
      <c r="G11" s="5">
        <v>7146.62</v>
      </c>
      <c r="H11" s="5">
        <v>2374.14</v>
      </c>
      <c r="I11" s="6">
        <f t="shared" si="0"/>
        <v>3.2822089323344517E-2</v>
      </c>
      <c r="J11" s="6">
        <f t="shared" si="1"/>
        <v>2.71572021868971E-2</v>
      </c>
      <c r="K11" s="40" t="s">
        <v>22</v>
      </c>
    </row>
    <row r="12" spans="1:11" x14ac:dyDescent="0.25">
      <c r="A12" s="18" t="s">
        <v>8</v>
      </c>
      <c r="B12" s="8">
        <v>12348.714</v>
      </c>
      <c r="C12" s="8">
        <v>3714.5079999999998</v>
      </c>
      <c r="D12" s="8">
        <v>41.207999999999998</v>
      </c>
      <c r="E12" s="8">
        <v>40.110999999999997</v>
      </c>
      <c r="F12" s="8">
        <v>10.585000000000001</v>
      </c>
      <c r="G12" s="8">
        <v>12503.34</v>
      </c>
      <c r="H12" s="8">
        <v>3746.69</v>
      </c>
      <c r="I12" s="9">
        <f t="shared" si="0"/>
        <v>1.2366775597560387E-2</v>
      </c>
      <c r="J12" s="9">
        <f t="shared" si="1"/>
        <v>8.5894482863541066E-3</v>
      </c>
      <c r="K12" s="40" t="s">
        <v>25</v>
      </c>
    </row>
    <row r="13" spans="1:11" ht="15.75" thickBot="1" x14ac:dyDescent="0.3">
      <c r="A13" s="20" t="s">
        <v>36</v>
      </c>
      <c r="B13" s="21">
        <v>14598.870999999999</v>
      </c>
      <c r="C13" s="21">
        <v>4629.6509999999998</v>
      </c>
      <c r="D13" s="21">
        <v>60.338999999999999</v>
      </c>
      <c r="E13" s="21">
        <v>11.087999999999999</v>
      </c>
      <c r="F13" s="21">
        <v>25.459</v>
      </c>
      <c r="G13" s="21">
        <v>15046.34</v>
      </c>
      <c r="H13" s="21">
        <v>4692.88</v>
      </c>
      <c r="I13" s="22">
        <f t="shared" si="0"/>
        <v>2.9739391772351298E-2</v>
      </c>
      <c r="J13" s="22">
        <f t="shared" si="1"/>
        <v>1.3473389475119779E-2</v>
      </c>
      <c r="K13" s="41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21F0-4E1A-4B85-A50E-EFE45B4B2180}">
  <dimension ref="A1:Q28"/>
  <sheetViews>
    <sheetView zoomScale="115" zoomScaleNormal="115" workbookViewId="0">
      <selection activeCell="B2" sqref="B2"/>
    </sheetView>
  </sheetViews>
  <sheetFormatPr defaultRowHeight="15" x14ac:dyDescent="0.25"/>
  <cols>
    <col min="1" max="1" width="12.42578125" customWidth="1"/>
    <col min="8" max="8" width="20.28515625" customWidth="1"/>
    <col min="9" max="9" width="12.28515625" customWidth="1"/>
    <col min="10" max="10" width="13.7109375" customWidth="1"/>
    <col min="11" max="11" width="15.7109375" style="1" customWidth="1"/>
    <col min="12" max="12" width="15.7109375" customWidth="1"/>
    <col min="13" max="13" width="22.140625" customWidth="1"/>
    <col min="14" max="14" width="11.5703125" style="1" customWidth="1"/>
    <col min="15" max="15" width="9.140625" customWidth="1"/>
    <col min="16" max="16" width="10.28515625" customWidth="1"/>
    <col min="17" max="17" width="10.28515625" style="1" customWidth="1"/>
  </cols>
  <sheetData>
    <row r="1" spans="1:17" ht="15.75" thickBot="1" x14ac:dyDescent="0.3">
      <c r="A1" s="23" t="s">
        <v>0</v>
      </c>
      <c r="B1" s="24" t="s">
        <v>1</v>
      </c>
      <c r="C1" s="24" t="s">
        <v>2</v>
      </c>
      <c r="D1" s="24" t="s">
        <v>6</v>
      </c>
      <c r="E1" s="24" t="s">
        <v>7</v>
      </c>
      <c r="F1" s="25" t="s">
        <v>15</v>
      </c>
      <c r="G1" s="25" t="s">
        <v>16</v>
      </c>
      <c r="H1" s="24" t="s">
        <v>32</v>
      </c>
      <c r="I1" s="24" t="s">
        <v>3</v>
      </c>
      <c r="J1" s="24" t="s">
        <v>33</v>
      </c>
      <c r="K1" s="25" t="s">
        <v>29</v>
      </c>
      <c r="L1" s="24" t="s">
        <v>4</v>
      </c>
      <c r="M1" s="24"/>
      <c r="N1" s="25" t="s">
        <v>30</v>
      </c>
      <c r="O1" s="24" t="s">
        <v>5</v>
      </c>
      <c r="P1" s="24"/>
      <c r="Q1" s="26" t="s">
        <v>31</v>
      </c>
    </row>
    <row r="2" spans="1:17" x14ac:dyDescent="0.25">
      <c r="A2" s="27" t="s">
        <v>10</v>
      </c>
      <c r="B2" s="28">
        <v>358.851</v>
      </c>
      <c r="C2" s="28">
        <v>297.16000000000003</v>
      </c>
      <c r="D2" s="28">
        <v>380.03</v>
      </c>
      <c r="E2" s="28">
        <v>305.23</v>
      </c>
      <c r="F2" s="29">
        <f>ABS(D2/B2-1)</f>
        <v>5.9018924288910979E-2</v>
      </c>
      <c r="G2" s="29">
        <f>ABS(E2/C2-1)</f>
        <v>2.7157087091129295E-2</v>
      </c>
      <c r="H2" s="28" t="s">
        <v>27</v>
      </c>
      <c r="I2" s="28">
        <v>5.4909999999999997</v>
      </c>
      <c r="J2" s="28">
        <v>5.09</v>
      </c>
      <c r="K2" s="29">
        <f>ABS(I2/J2-1)</f>
        <v>7.8781925343811343E-2</v>
      </c>
      <c r="L2" s="28">
        <v>10.010999999999999</v>
      </c>
      <c r="M2" s="28">
        <v>9.75</v>
      </c>
      <c r="N2" s="29">
        <f>ABS(M2/L2-1)</f>
        <v>2.6071321546298987E-2</v>
      </c>
      <c r="O2" s="28">
        <v>10.583</v>
      </c>
      <c r="P2" s="28">
        <v>9.75</v>
      </c>
      <c r="Q2" s="30">
        <f>ABS(P2/O2-1)</f>
        <v>7.8711140508362476E-2</v>
      </c>
    </row>
    <row r="3" spans="1:17" x14ac:dyDescent="0.25">
      <c r="A3" s="31" t="s">
        <v>12</v>
      </c>
      <c r="B3" s="32">
        <v>1457.346</v>
      </c>
      <c r="C3" s="32">
        <v>905.38800000000003</v>
      </c>
      <c r="D3" s="32">
        <v>1590.85</v>
      </c>
      <c r="E3" s="32">
        <v>941.36</v>
      </c>
      <c r="F3" s="33">
        <f t="shared" ref="F3:F13" si="0">ABS(D3/B3-1)</f>
        <v>9.1607620976761783E-2</v>
      </c>
      <c r="G3" s="33">
        <f t="shared" ref="G3:G13" si="1">ABS(E3/C3-1)</f>
        <v>3.973103244134002E-2</v>
      </c>
      <c r="H3" s="32" t="s">
        <v>17</v>
      </c>
      <c r="I3" s="32">
        <v>20.074999999999999</v>
      </c>
      <c r="J3" s="32">
        <v>19.89</v>
      </c>
      <c r="K3" s="33">
        <f t="shared" ref="K3:K13" si="2">ABS(I3/J3-1)</f>
        <v>9.3011563599798563E-3</v>
      </c>
      <c r="L3" s="32">
        <v>5.8890000000000002</v>
      </c>
      <c r="M3" s="32">
        <v>5.12</v>
      </c>
      <c r="N3" s="33">
        <f t="shared" ref="N3:N13" si="3">ABS(M3/L3-1)</f>
        <v>0.13058244184071999</v>
      </c>
      <c r="O3" s="32">
        <v>19.914999999999999</v>
      </c>
      <c r="P3" s="32">
        <v>19.89</v>
      </c>
      <c r="Q3" s="34">
        <f t="shared" ref="Q3:Q13" si="4">ABS(P3/O3-1)</f>
        <v>1.2553351744915009E-3</v>
      </c>
    </row>
    <row r="4" spans="1:17" x14ac:dyDescent="0.25">
      <c r="A4" s="31" t="s">
        <v>10</v>
      </c>
      <c r="B4" s="32">
        <v>6911.5230000000001</v>
      </c>
      <c r="C4" s="32">
        <v>2309.665</v>
      </c>
      <c r="D4" s="32">
        <v>7146.62</v>
      </c>
      <c r="E4" s="32">
        <v>2374.14</v>
      </c>
      <c r="F4" s="33">
        <f t="shared" si="0"/>
        <v>3.401522356215847E-2</v>
      </c>
      <c r="G4" s="33">
        <f t="shared" si="1"/>
        <v>2.7915303734524333E-2</v>
      </c>
      <c r="H4" s="32" t="s">
        <v>22</v>
      </c>
      <c r="I4" s="32">
        <v>30.190999999999999</v>
      </c>
      <c r="J4" s="32">
        <v>30.12</v>
      </c>
      <c r="K4" s="33">
        <f t="shared" si="2"/>
        <v>2.3572377158034286E-3</v>
      </c>
      <c r="L4" s="32">
        <v>10.553000000000001</v>
      </c>
      <c r="M4" s="32">
        <v>10.029999999999999</v>
      </c>
      <c r="N4" s="33">
        <f t="shared" si="3"/>
        <v>4.9559367004643362E-2</v>
      </c>
      <c r="O4" s="32">
        <v>30.041</v>
      </c>
      <c r="P4" s="32">
        <v>30.12</v>
      </c>
      <c r="Q4" s="34">
        <f t="shared" si="4"/>
        <v>2.6297393562131344E-3</v>
      </c>
    </row>
    <row r="5" spans="1:17" x14ac:dyDescent="0.25">
      <c r="A5" s="31" t="s">
        <v>8</v>
      </c>
      <c r="B5" s="32">
        <v>12349.273999999999</v>
      </c>
      <c r="C5" s="32">
        <v>3714.5079999999998</v>
      </c>
      <c r="D5" s="32">
        <v>12503.34</v>
      </c>
      <c r="E5" s="32">
        <v>3746.69</v>
      </c>
      <c r="F5" s="33">
        <f t="shared" si="0"/>
        <v>1.2475713147185985E-2</v>
      </c>
      <c r="G5" s="33">
        <f t="shared" si="1"/>
        <v>8.6638661163200847E-3</v>
      </c>
      <c r="H5" s="32" t="s">
        <v>25</v>
      </c>
      <c r="I5" s="32">
        <v>41.207999999999998</v>
      </c>
      <c r="J5" s="32">
        <v>39.82</v>
      </c>
      <c r="K5" s="33">
        <f t="shared" si="2"/>
        <v>3.4856855851330915E-2</v>
      </c>
      <c r="L5" s="32">
        <v>10.585000000000001</v>
      </c>
      <c r="M5" s="32">
        <v>10.039999999999999</v>
      </c>
      <c r="N5" s="33">
        <f t="shared" si="3"/>
        <v>5.1487954652810752E-2</v>
      </c>
      <c r="O5" s="32">
        <v>40.110999999999997</v>
      </c>
      <c r="P5" s="32">
        <v>39.82</v>
      </c>
      <c r="Q5" s="34">
        <f t="shared" si="4"/>
        <v>7.2548677420157803E-3</v>
      </c>
    </row>
    <row r="6" spans="1:17" x14ac:dyDescent="0.25">
      <c r="A6" s="14" t="s">
        <v>14</v>
      </c>
      <c r="B6" s="10">
        <v>966.99</v>
      </c>
      <c r="C6" s="10">
        <v>673.726</v>
      </c>
      <c r="D6" s="10">
        <v>1050.9000000000001</v>
      </c>
      <c r="E6" s="10">
        <v>717.44</v>
      </c>
      <c r="F6" s="11">
        <f t="shared" si="0"/>
        <v>8.6774423727236094E-2</v>
      </c>
      <c r="G6" s="11">
        <f t="shared" si="1"/>
        <v>6.4883943917853903E-2</v>
      </c>
      <c r="H6" s="10" t="s">
        <v>20</v>
      </c>
      <c r="I6" s="10">
        <v>20.158000000000001</v>
      </c>
      <c r="J6" s="10">
        <v>20.010000000000002</v>
      </c>
      <c r="K6" s="11">
        <f t="shared" si="2"/>
        <v>7.3963018490754706E-3</v>
      </c>
      <c r="L6" s="10">
        <v>5.633</v>
      </c>
      <c r="M6" s="10">
        <v>5.21</v>
      </c>
      <c r="N6" s="11">
        <f t="shared" si="3"/>
        <v>7.5093200781111369E-2</v>
      </c>
      <c r="O6" s="10">
        <v>10.307</v>
      </c>
      <c r="P6" s="10">
        <v>10.09</v>
      </c>
      <c r="Q6" s="15">
        <f t="shared" si="4"/>
        <v>2.1053652857281557E-2</v>
      </c>
    </row>
    <row r="7" spans="1:17" x14ac:dyDescent="0.25">
      <c r="A7" s="14" t="s">
        <v>8</v>
      </c>
      <c r="B7" s="10">
        <v>1493.5619999999999</v>
      </c>
      <c r="C7" s="10">
        <v>1070.7460000000001</v>
      </c>
      <c r="D7" s="10">
        <v>1737.22</v>
      </c>
      <c r="E7" s="10">
        <v>1164.8751999999999</v>
      </c>
      <c r="F7" s="11">
        <f t="shared" si="0"/>
        <v>0.16313885864798383</v>
      </c>
      <c r="G7" s="11">
        <f t="shared" si="1"/>
        <v>8.7909924482556967E-2</v>
      </c>
      <c r="H7" s="10" t="s">
        <v>19</v>
      </c>
      <c r="I7" s="10">
        <v>40.146000000000001</v>
      </c>
      <c r="J7" s="10">
        <v>39.92</v>
      </c>
      <c r="K7" s="11">
        <f t="shared" si="2"/>
        <v>5.6613226452906229E-3</v>
      </c>
      <c r="L7" s="10">
        <v>5.375</v>
      </c>
      <c r="M7" s="10">
        <v>5.32</v>
      </c>
      <c r="N7" s="11">
        <f t="shared" si="3"/>
        <v>1.0232558139534831E-2</v>
      </c>
      <c r="O7" s="10">
        <v>8.4589999999999996</v>
      </c>
      <c r="P7" s="10">
        <v>8.18</v>
      </c>
      <c r="Q7" s="15">
        <f t="shared" si="4"/>
        <v>3.2982622059345101E-2</v>
      </c>
    </row>
    <row r="8" spans="1:17" x14ac:dyDescent="0.25">
      <c r="A8" s="14" t="s">
        <v>9</v>
      </c>
      <c r="B8" s="10">
        <v>14598.919</v>
      </c>
      <c r="C8" s="10">
        <v>4629.652</v>
      </c>
      <c r="D8" s="10">
        <v>15046.34</v>
      </c>
      <c r="E8" s="10">
        <v>4692.88</v>
      </c>
      <c r="F8" s="11">
        <f t="shared" si="0"/>
        <v>3.0647543150283951E-2</v>
      </c>
      <c r="G8" s="11">
        <f t="shared" si="1"/>
        <v>1.3657182008496527E-2</v>
      </c>
      <c r="H8" s="10" t="s">
        <v>26</v>
      </c>
      <c r="I8" s="10">
        <v>25.459</v>
      </c>
      <c r="J8" s="10">
        <v>24.92</v>
      </c>
      <c r="K8" s="11">
        <f t="shared" si="2"/>
        <v>2.1629213483145948E-2</v>
      </c>
      <c r="L8" s="10">
        <v>11.087999999999999</v>
      </c>
      <c r="M8" s="10">
        <v>10.09</v>
      </c>
      <c r="N8" s="11">
        <f t="shared" si="3"/>
        <v>9.000721500721498E-2</v>
      </c>
      <c r="O8" s="10">
        <v>60.338999999999999</v>
      </c>
      <c r="P8" s="10">
        <v>59.84</v>
      </c>
      <c r="Q8" s="15">
        <f t="shared" si="4"/>
        <v>8.2699414972073892E-3</v>
      </c>
    </row>
    <row r="9" spans="1:17" x14ac:dyDescent="0.25">
      <c r="A9" s="18" t="s">
        <v>11</v>
      </c>
      <c r="B9" s="8">
        <v>991.54700000000003</v>
      </c>
      <c r="C9" s="8">
        <v>574.25</v>
      </c>
      <c r="D9" s="8">
        <v>1109.1400000000001</v>
      </c>
      <c r="E9" s="8">
        <v>643.02</v>
      </c>
      <c r="F9" s="9">
        <f t="shared" si="0"/>
        <v>0.11859548765716599</v>
      </c>
      <c r="G9" s="9">
        <f t="shared" si="1"/>
        <v>0.11975620374401386</v>
      </c>
      <c r="H9" s="8" t="s">
        <v>23</v>
      </c>
      <c r="I9" s="8">
        <v>10.465</v>
      </c>
      <c r="J9" s="8">
        <v>10.64</v>
      </c>
      <c r="K9" s="9">
        <f t="shared" si="2"/>
        <v>1.6447368421052655E-2</v>
      </c>
      <c r="L9" s="8">
        <v>10.680999999999999</v>
      </c>
      <c r="M9" s="8">
        <v>10.17</v>
      </c>
      <c r="N9" s="9">
        <f t="shared" si="3"/>
        <v>4.7841962363074586E-2</v>
      </c>
      <c r="O9" s="8">
        <v>10.204000000000001</v>
      </c>
      <c r="P9" s="8">
        <v>10.25</v>
      </c>
      <c r="Q9" s="19">
        <f t="shared" si="4"/>
        <v>4.508036064288401E-3</v>
      </c>
    </row>
    <row r="10" spans="1:17" x14ac:dyDescent="0.25">
      <c r="A10" s="18" t="s">
        <v>9</v>
      </c>
      <c r="B10" s="8">
        <v>8050.0649999999996</v>
      </c>
      <c r="C10" s="8">
        <v>2372.5430000000001</v>
      </c>
      <c r="D10" s="8">
        <v>8328.2099999999991</v>
      </c>
      <c r="E10" s="8">
        <v>2465.2199999999998</v>
      </c>
      <c r="F10" s="9">
        <f t="shared" si="0"/>
        <v>3.4551894922587589E-2</v>
      </c>
      <c r="G10" s="9">
        <f t="shared" si="1"/>
        <v>3.9062305720064749E-2</v>
      </c>
      <c r="H10" s="8" t="s">
        <v>18</v>
      </c>
      <c r="I10" s="8">
        <v>21.221</v>
      </c>
      <c r="J10" s="8">
        <v>20.36</v>
      </c>
      <c r="K10" s="9">
        <f t="shared" si="2"/>
        <v>4.2288801571709334E-2</v>
      </c>
      <c r="L10" s="8">
        <v>20.469000000000001</v>
      </c>
      <c r="M10" s="8">
        <v>20.28</v>
      </c>
      <c r="N10" s="9">
        <f t="shared" si="3"/>
        <v>9.2334750109922537E-3</v>
      </c>
      <c r="O10" s="8">
        <v>20.457999999999998</v>
      </c>
      <c r="P10" s="8">
        <v>20.170000000000002</v>
      </c>
      <c r="Q10" s="19">
        <f t="shared" si="4"/>
        <v>1.4077622445986759E-2</v>
      </c>
    </row>
    <row r="11" spans="1:17" x14ac:dyDescent="0.25">
      <c r="A11" s="16" t="s">
        <v>9</v>
      </c>
      <c r="B11" s="12">
        <v>1079.2360000000001</v>
      </c>
      <c r="C11" s="12">
        <v>707.34</v>
      </c>
      <c r="D11" s="12">
        <v>1164.6500000000001</v>
      </c>
      <c r="E11" s="12">
        <v>739.59</v>
      </c>
      <c r="F11" s="13">
        <f t="shared" si="0"/>
        <v>7.9143023398033474E-2</v>
      </c>
      <c r="G11" s="13">
        <f t="shared" si="1"/>
        <v>4.5593349732801824E-2</v>
      </c>
      <c r="H11" s="12" t="s">
        <v>28</v>
      </c>
      <c r="I11" s="12">
        <v>7.0869999999999997</v>
      </c>
      <c r="J11" s="12">
        <v>7.04</v>
      </c>
      <c r="K11" s="13">
        <f t="shared" si="2"/>
        <v>6.6761363636362869E-3</v>
      </c>
      <c r="L11" s="12">
        <v>7.44</v>
      </c>
      <c r="M11" s="12">
        <v>7.04</v>
      </c>
      <c r="N11" s="13">
        <f t="shared" si="3"/>
        <v>5.3763440860215117E-2</v>
      </c>
      <c r="O11" s="12">
        <v>29.991</v>
      </c>
      <c r="P11" s="12">
        <v>29.92</v>
      </c>
      <c r="Q11" s="17">
        <f t="shared" si="4"/>
        <v>2.3673768797305428E-3</v>
      </c>
    </row>
    <row r="12" spans="1:17" x14ac:dyDescent="0.25">
      <c r="A12" s="16" t="s">
        <v>13</v>
      </c>
      <c r="B12" s="12">
        <v>3010.4479999999999</v>
      </c>
      <c r="C12" s="12">
        <v>1381.509</v>
      </c>
      <c r="D12" s="12">
        <v>3204.03</v>
      </c>
      <c r="E12" s="12">
        <v>1431.04</v>
      </c>
      <c r="F12" s="13">
        <f t="shared" si="0"/>
        <v>6.4303386074099356E-2</v>
      </c>
      <c r="G12" s="13">
        <f t="shared" si="1"/>
        <v>3.5852824701105845E-2</v>
      </c>
      <c r="H12" s="12" t="s">
        <v>21</v>
      </c>
      <c r="I12" s="12">
        <v>40.253999999999998</v>
      </c>
      <c r="J12" s="12">
        <v>40.15</v>
      </c>
      <c r="K12" s="13">
        <f t="shared" si="2"/>
        <v>2.5902864259028657E-3</v>
      </c>
      <c r="L12" s="12">
        <v>10.141</v>
      </c>
      <c r="M12" s="12">
        <v>10.08</v>
      </c>
      <c r="N12" s="13">
        <f t="shared" si="3"/>
        <v>6.0151858791046564E-3</v>
      </c>
      <c r="O12" s="12">
        <v>10.25</v>
      </c>
      <c r="P12" s="12">
        <v>10.08</v>
      </c>
      <c r="Q12" s="17">
        <f t="shared" si="4"/>
        <v>1.6585365853658551E-2</v>
      </c>
    </row>
    <row r="13" spans="1:17" ht="15.75" thickBot="1" x14ac:dyDescent="0.3">
      <c r="A13" s="35" t="s">
        <v>8</v>
      </c>
      <c r="B13" s="36">
        <v>8482.2630000000008</v>
      </c>
      <c r="C13" s="36">
        <v>2667.703</v>
      </c>
      <c r="D13" s="36">
        <v>8908.92</v>
      </c>
      <c r="E13" s="36">
        <v>2726.92</v>
      </c>
      <c r="F13" s="37">
        <f t="shared" si="0"/>
        <v>5.0299902278436726E-2</v>
      </c>
      <c r="G13" s="37">
        <f t="shared" si="1"/>
        <v>2.2197748400027972E-2</v>
      </c>
      <c r="H13" s="36" t="s">
        <v>24</v>
      </c>
      <c r="I13" s="36">
        <v>50.468000000000004</v>
      </c>
      <c r="J13" s="36">
        <v>50.28</v>
      </c>
      <c r="K13" s="37">
        <f t="shared" si="2"/>
        <v>3.739061256960996E-3</v>
      </c>
      <c r="L13" s="36">
        <v>15.313000000000001</v>
      </c>
      <c r="M13" s="36">
        <v>15.02</v>
      </c>
      <c r="N13" s="37">
        <f t="shared" si="3"/>
        <v>1.9134069091621519E-2</v>
      </c>
      <c r="O13" s="36">
        <v>15.586</v>
      </c>
      <c r="P13" s="36">
        <v>15.02</v>
      </c>
      <c r="Q13" s="38">
        <f t="shared" si="4"/>
        <v>3.6314641344796672E-2</v>
      </c>
    </row>
    <row r="14" spans="1:17" x14ac:dyDescent="0.25">
      <c r="B14" t="s">
        <v>34</v>
      </c>
      <c r="D14" t="s">
        <v>35</v>
      </c>
      <c r="F14" s="1">
        <f>AVERAGE(F2:F13)</f>
        <v>6.8714333485903681E-2</v>
      </c>
      <c r="G14" s="1">
        <f>AVERAGE(G2:G13)</f>
        <v>4.4365064340852946E-2</v>
      </c>
      <c r="K14" s="1">
        <f>AVERAGE(K2:K13)</f>
        <v>1.9310472273974977E-2</v>
      </c>
      <c r="N14" s="1">
        <f>AVERAGE(N2:N13)</f>
        <v>4.7418516014778533E-2</v>
      </c>
      <c r="Q14" s="1">
        <f>AVERAGE(Q2:Q13)</f>
        <v>1.8834195148614823E-2</v>
      </c>
    </row>
    <row r="16" spans="1:17" x14ac:dyDescent="0.25">
      <c r="K16"/>
      <c r="N16"/>
      <c r="Q16"/>
    </row>
    <row r="17" spans="12:12" customFormat="1" x14ac:dyDescent="0.25">
      <c r="L17" t="s">
        <v>37</v>
      </c>
    </row>
    <row r="18" spans="12:12" customFormat="1" x14ac:dyDescent="0.25"/>
    <row r="19" spans="12:12" customFormat="1" x14ac:dyDescent="0.25"/>
    <row r="20" spans="12:12" customFormat="1" x14ac:dyDescent="0.25"/>
    <row r="21" spans="12:12" customFormat="1" x14ac:dyDescent="0.25"/>
    <row r="22" spans="12:12" customFormat="1" x14ac:dyDescent="0.25"/>
    <row r="23" spans="12:12" customFormat="1" x14ac:dyDescent="0.25"/>
    <row r="24" spans="12:12" customFormat="1" x14ac:dyDescent="0.25"/>
    <row r="25" spans="12:12" customFormat="1" x14ac:dyDescent="0.25"/>
    <row r="26" spans="12:12" customFormat="1" x14ac:dyDescent="0.25"/>
    <row r="27" spans="12:12" customFormat="1" x14ac:dyDescent="0.25"/>
    <row r="28" spans="12:12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1E56-E65D-44BE-BDA7-58C836559509}">
  <dimension ref="A1:Q18"/>
  <sheetViews>
    <sheetView topLeftCell="C1" zoomScale="130" zoomScaleNormal="130" workbookViewId="0">
      <selection activeCell="J20" sqref="J20"/>
    </sheetView>
  </sheetViews>
  <sheetFormatPr defaultRowHeight="15" x14ac:dyDescent="0.25"/>
  <cols>
    <col min="8" max="8" width="14" customWidth="1"/>
    <col min="9" max="9" width="15.140625" customWidth="1"/>
    <col min="10" max="10" width="16.5703125" customWidth="1"/>
    <col min="11" max="11" width="11.42578125" style="1" customWidth="1"/>
    <col min="12" max="12" width="19.7109375" customWidth="1"/>
    <col min="14" max="14" width="11.7109375" style="1" customWidth="1"/>
    <col min="17" max="17" width="9.140625" style="1"/>
  </cols>
  <sheetData>
    <row r="1" spans="1:17" ht="15.75" thickBot="1" x14ac:dyDescent="0.3">
      <c r="A1" s="23" t="s">
        <v>0</v>
      </c>
      <c r="B1" s="24" t="s">
        <v>1</v>
      </c>
      <c r="C1" s="24" t="s">
        <v>2</v>
      </c>
      <c r="D1" s="24" t="s">
        <v>6</v>
      </c>
      <c r="E1" s="24" t="s">
        <v>7</v>
      </c>
      <c r="F1" s="25" t="s">
        <v>15</v>
      </c>
      <c r="G1" s="25" t="s">
        <v>16</v>
      </c>
      <c r="H1" s="24" t="s">
        <v>32</v>
      </c>
      <c r="I1" s="24" t="s">
        <v>3</v>
      </c>
      <c r="J1" s="24" t="s">
        <v>33</v>
      </c>
      <c r="K1" s="25" t="s">
        <v>29</v>
      </c>
      <c r="L1" s="24" t="s">
        <v>4</v>
      </c>
      <c r="M1" s="24"/>
      <c r="N1" s="25" t="s">
        <v>30</v>
      </c>
      <c r="O1" s="24" t="s">
        <v>5</v>
      </c>
      <c r="P1" s="24"/>
      <c r="Q1" s="26" t="s">
        <v>31</v>
      </c>
    </row>
    <row r="2" spans="1:17" ht="15.75" thickBot="1" x14ac:dyDescent="0.3">
      <c r="A2" s="27" t="s">
        <v>10</v>
      </c>
      <c r="B2" s="28">
        <v>358.851</v>
      </c>
      <c r="C2" s="28">
        <v>297.16000000000003</v>
      </c>
      <c r="D2" s="28">
        <v>380.03</v>
      </c>
      <c r="E2" s="28">
        <v>305.23</v>
      </c>
      <c r="F2" s="29">
        <f>ABS(D2/B2-1)</f>
        <v>5.9018924288910979E-2</v>
      </c>
      <c r="G2" s="29">
        <f>ABS(E2/C2-1)</f>
        <v>2.7157087091129295E-2</v>
      </c>
      <c r="H2" s="28" t="s">
        <v>27</v>
      </c>
      <c r="I2" s="28">
        <v>5.4909999999999997</v>
      </c>
      <c r="J2" s="28">
        <v>5.09</v>
      </c>
      <c r="K2" s="29">
        <f>ABS(J2/I2-1)</f>
        <v>7.3028592241850321E-2</v>
      </c>
      <c r="L2" s="28">
        <v>10.010999999999999</v>
      </c>
      <c r="M2" s="28">
        <v>9.75</v>
      </c>
      <c r="N2" s="29">
        <f>ABS(M2/L2-1)</f>
        <v>2.6071321546298987E-2</v>
      </c>
      <c r="O2" s="28">
        <v>10.583</v>
      </c>
      <c r="P2" s="28">
        <v>9.75</v>
      </c>
      <c r="Q2" s="30">
        <f>ABS(P2/O2-1)</f>
        <v>7.8711140508362476E-2</v>
      </c>
    </row>
    <row r="3" spans="1:17" ht="15.75" thickBot="1" x14ac:dyDescent="0.3">
      <c r="A3" s="31" t="s">
        <v>12</v>
      </c>
      <c r="B3" s="32">
        <v>1457.346</v>
      </c>
      <c r="C3" s="32">
        <v>905.38800000000003</v>
      </c>
      <c r="D3" s="32">
        <v>1590.85</v>
      </c>
      <c r="E3" s="32">
        <v>941.36</v>
      </c>
      <c r="F3" s="33">
        <f t="shared" ref="F3:G16" si="0">ABS(D3/B3-1)</f>
        <v>9.1607620976761783E-2</v>
      </c>
      <c r="G3" s="33">
        <f t="shared" si="0"/>
        <v>3.973103244134002E-2</v>
      </c>
      <c r="H3" s="32" t="s">
        <v>17</v>
      </c>
      <c r="I3" s="32">
        <v>5.8890000000000002</v>
      </c>
      <c r="J3" s="32">
        <v>5.12</v>
      </c>
      <c r="K3" s="29">
        <f t="shared" ref="K3:K16" si="1">ABS(J3/I3-1)</f>
        <v>0.13058244184071999</v>
      </c>
      <c r="L3" s="32">
        <v>19.914999999999999</v>
      </c>
      <c r="M3" s="32">
        <v>19.89</v>
      </c>
      <c r="N3" s="29">
        <f t="shared" ref="N3:N16" si="2">ABS(M3/L3-1)</f>
        <v>1.2553351744915009E-3</v>
      </c>
      <c r="O3" s="32">
        <v>20.074999999999999</v>
      </c>
      <c r="P3" s="32">
        <v>19.89</v>
      </c>
      <c r="Q3" s="30">
        <f t="shared" ref="Q3:Q16" si="3">ABS(P3/O3-1)</f>
        <v>9.2154420921543023E-3</v>
      </c>
    </row>
    <row r="4" spans="1:17" ht="15.75" thickBot="1" x14ac:dyDescent="0.3">
      <c r="A4" s="31" t="s">
        <v>10</v>
      </c>
      <c r="B4" s="32">
        <v>6911.5230000000001</v>
      </c>
      <c r="C4" s="32">
        <v>2309.665</v>
      </c>
      <c r="D4" s="32">
        <v>7146.62</v>
      </c>
      <c r="E4" s="32">
        <v>2374.14</v>
      </c>
      <c r="F4" s="33">
        <f t="shared" si="0"/>
        <v>3.401522356215847E-2</v>
      </c>
      <c r="G4" s="33">
        <f t="shared" si="0"/>
        <v>2.7915303734524333E-2</v>
      </c>
      <c r="H4" s="32" t="s">
        <v>22</v>
      </c>
      <c r="I4" s="32">
        <v>10.553000000000001</v>
      </c>
      <c r="J4" s="32">
        <v>10.029999999999999</v>
      </c>
      <c r="K4" s="29">
        <f t="shared" si="1"/>
        <v>4.9559367004643362E-2</v>
      </c>
      <c r="L4" s="32">
        <v>30.041</v>
      </c>
      <c r="M4" s="32">
        <v>30.12</v>
      </c>
      <c r="N4" s="29">
        <f t="shared" si="2"/>
        <v>2.6297393562131344E-3</v>
      </c>
      <c r="O4" s="32">
        <v>30.190999999999999</v>
      </c>
      <c r="P4" s="32">
        <v>30.12</v>
      </c>
      <c r="Q4" s="30">
        <f t="shared" si="3"/>
        <v>2.3516942135072272E-3</v>
      </c>
    </row>
    <row r="5" spans="1:17" x14ac:dyDescent="0.25">
      <c r="A5" s="31" t="s">
        <v>8</v>
      </c>
      <c r="B5" s="32">
        <v>12349.273999999999</v>
      </c>
      <c r="C5" s="32">
        <v>3714.5079999999998</v>
      </c>
      <c r="D5" s="32">
        <v>12503.34</v>
      </c>
      <c r="E5" s="32">
        <v>3746.69</v>
      </c>
      <c r="F5" s="33">
        <f t="shared" si="0"/>
        <v>1.2475713147185985E-2</v>
      </c>
      <c r="G5" s="33">
        <f t="shared" si="0"/>
        <v>8.6638661163200847E-3</v>
      </c>
      <c r="H5" s="32" t="s">
        <v>25</v>
      </c>
      <c r="I5" s="32">
        <v>10.585000000000001</v>
      </c>
      <c r="J5" s="32">
        <v>10.039999999999999</v>
      </c>
      <c r="K5" s="29">
        <f t="shared" si="1"/>
        <v>5.1487954652810752E-2</v>
      </c>
      <c r="L5" s="32">
        <v>40.110999999999997</v>
      </c>
      <c r="M5" s="32">
        <v>39.82</v>
      </c>
      <c r="N5" s="29">
        <f t="shared" si="2"/>
        <v>7.2548677420157803E-3</v>
      </c>
      <c r="O5" s="32">
        <v>41.207999999999998</v>
      </c>
      <c r="P5" s="32">
        <v>39.82</v>
      </c>
      <c r="Q5" s="30">
        <f t="shared" si="3"/>
        <v>3.3682780042710081E-2</v>
      </c>
    </row>
    <row r="6" spans="1:17" x14ac:dyDescent="0.25">
      <c r="A6" s="31"/>
      <c r="B6" s="32"/>
      <c r="C6" s="32"/>
      <c r="D6" s="32"/>
      <c r="E6" s="32"/>
      <c r="F6" s="33"/>
      <c r="G6" s="33"/>
      <c r="H6" s="32"/>
      <c r="I6" s="32"/>
      <c r="J6" s="32"/>
      <c r="K6" s="42">
        <f>AVERAGE(K2:K5)</f>
        <v>7.6164588935006106E-2</v>
      </c>
      <c r="L6" s="32"/>
      <c r="M6" s="32"/>
      <c r="N6" s="42">
        <f>AVERAGE(N2:N5)</f>
        <v>9.3028159547548506E-3</v>
      </c>
      <c r="O6" s="32"/>
      <c r="P6" s="32"/>
      <c r="Q6" s="42">
        <f>AVERAGE(Q2:Q5)</f>
        <v>3.0990264214183522E-2</v>
      </c>
    </row>
    <row r="7" spans="1:17" x14ac:dyDescent="0.25">
      <c r="A7" s="14" t="s">
        <v>14</v>
      </c>
      <c r="B7" s="10">
        <v>966.99</v>
      </c>
      <c r="C7" s="10">
        <v>673.726</v>
      </c>
      <c r="D7" s="10">
        <v>1050.9000000000001</v>
      </c>
      <c r="E7" s="10">
        <v>717.44</v>
      </c>
      <c r="F7" s="11">
        <f t="shared" si="0"/>
        <v>8.6774423727236094E-2</v>
      </c>
      <c r="G7" s="11">
        <f t="shared" si="0"/>
        <v>6.4883943917853903E-2</v>
      </c>
      <c r="H7" s="10" t="s">
        <v>20</v>
      </c>
      <c r="I7" s="10">
        <v>5.633</v>
      </c>
      <c r="J7" s="10">
        <v>5.21</v>
      </c>
      <c r="K7" s="11">
        <f t="shared" si="1"/>
        <v>7.5093200781111369E-2</v>
      </c>
      <c r="L7" s="10">
        <v>10.307</v>
      </c>
      <c r="M7" s="10">
        <v>10.09</v>
      </c>
      <c r="N7" s="11">
        <f t="shared" si="2"/>
        <v>2.1053652857281557E-2</v>
      </c>
      <c r="O7" s="10">
        <v>20.158000000000001</v>
      </c>
      <c r="P7" s="10">
        <v>20.010000000000002</v>
      </c>
      <c r="Q7" s="11">
        <f t="shared" si="3"/>
        <v>7.3419982141085249E-3</v>
      </c>
    </row>
    <row r="8" spans="1:17" x14ac:dyDescent="0.25">
      <c r="A8" s="14" t="s">
        <v>8</v>
      </c>
      <c r="B8" s="10">
        <v>1493.5619999999999</v>
      </c>
      <c r="C8" s="10">
        <v>1070.7460000000001</v>
      </c>
      <c r="D8" s="10">
        <v>1737.22</v>
      </c>
      <c r="E8" s="10">
        <v>1164.8751999999999</v>
      </c>
      <c r="F8" s="11">
        <f t="shared" si="0"/>
        <v>0.16313885864798383</v>
      </c>
      <c r="G8" s="11">
        <f t="shared" si="0"/>
        <v>8.7909924482556967E-2</v>
      </c>
      <c r="H8" s="10" t="s">
        <v>19</v>
      </c>
      <c r="I8" s="10">
        <v>5.375</v>
      </c>
      <c r="J8" s="10">
        <v>5.32</v>
      </c>
      <c r="K8" s="11">
        <f t="shared" si="1"/>
        <v>1.0232558139534831E-2</v>
      </c>
      <c r="L8" s="10">
        <v>8.4589999999999996</v>
      </c>
      <c r="M8" s="10">
        <v>8.18</v>
      </c>
      <c r="N8" s="11">
        <f t="shared" si="2"/>
        <v>3.2982622059345101E-2</v>
      </c>
      <c r="O8" s="10">
        <v>40.146000000000001</v>
      </c>
      <c r="P8" s="10">
        <v>39.92</v>
      </c>
      <c r="Q8" s="11">
        <f t="shared" si="3"/>
        <v>5.6294524983808714E-3</v>
      </c>
    </row>
    <row r="9" spans="1:17" x14ac:dyDescent="0.25">
      <c r="A9" s="14" t="s">
        <v>9</v>
      </c>
      <c r="B9" s="10">
        <v>14598.919</v>
      </c>
      <c r="C9" s="10">
        <v>4629.652</v>
      </c>
      <c r="D9" s="10">
        <v>15046.34</v>
      </c>
      <c r="E9" s="10">
        <v>4692.88</v>
      </c>
      <c r="F9" s="11">
        <f t="shared" si="0"/>
        <v>3.0647543150283951E-2</v>
      </c>
      <c r="G9" s="11">
        <f t="shared" si="0"/>
        <v>1.3657182008496527E-2</v>
      </c>
      <c r="H9" s="10" t="s">
        <v>26</v>
      </c>
      <c r="I9" s="10">
        <v>11.087999999999999</v>
      </c>
      <c r="J9" s="10">
        <v>10.09</v>
      </c>
      <c r="K9" s="11">
        <f t="shared" si="1"/>
        <v>9.000721500721498E-2</v>
      </c>
      <c r="L9" s="10">
        <v>25.459</v>
      </c>
      <c r="M9" s="10">
        <v>24.92</v>
      </c>
      <c r="N9" s="11">
        <f t="shared" si="2"/>
        <v>2.1171295023370784E-2</v>
      </c>
      <c r="O9" s="10">
        <v>60.338999999999999</v>
      </c>
      <c r="P9" s="10">
        <v>59.84</v>
      </c>
      <c r="Q9" s="11">
        <f t="shared" si="3"/>
        <v>8.2699414972073892E-3</v>
      </c>
    </row>
    <row r="10" spans="1:17" x14ac:dyDescent="0.25">
      <c r="A10" s="14"/>
      <c r="B10" s="10"/>
      <c r="C10" s="10"/>
      <c r="D10" s="10"/>
      <c r="E10" s="10"/>
      <c r="F10" s="11"/>
      <c r="G10" s="11"/>
      <c r="H10" s="10"/>
      <c r="I10" s="10"/>
      <c r="J10" s="10"/>
      <c r="K10" s="11">
        <f>AVERAGE(K7:K9)</f>
        <v>5.8444324642620393E-2</v>
      </c>
      <c r="L10" s="10"/>
      <c r="M10" s="10"/>
      <c r="N10" s="11">
        <f>AVERAGE(N7:N9)</f>
        <v>2.5069189979999146E-2</v>
      </c>
      <c r="O10" s="10"/>
      <c r="P10" s="10"/>
      <c r="Q10" s="11">
        <f>AVERAGE(Q7:Q9)</f>
        <v>7.0804640698989285E-3</v>
      </c>
    </row>
    <row r="11" spans="1:17" x14ac:dyDescent="0.25">
      <c r="A11" s="18" t="s">
        <v>11</v>
      </c>
      <c r="B11" s="8">
        <v>991.54700000000003</v>
      </c>
      <c r="C11" s="8">
        <v>574.25</v>
      </c>
      <c r="D11" s="8">
        <v>1109.1400000000001</v>
      </c>
      <c r="E11" s="8">
        <v>643.02</v>
      </c>
      <c r="F11" s="9">
        <f t="shared" si="0"/>
        <v>0.11859548765716599</v>
      </c>
      <c r="G11" s="9">
        <f t="shared" si="0"/>
        <v>0.11975620374401386</v>
      </c>
      <c r="H11" s="8" t="s">
        <v>23</v>
      </c>
      <c r="I11" s="8">
        <v>10.204000000000001</v>
      </c>
      <c r="J11" s="8">
        <v>10.25</v>
      </c>
      <c r="K11" s="9">
        <f t="shared" si="1"/>
        <v>4.508036064288401E-3</v>
      </c>
      <c r="L11" s="8">
        <v>10.465</v>
      </c>
      <c r="M11" s="8">
        <v>10.64</v>
      </c>
      <c r="N11" s="9">
        <f t="shared" si="2"/>
        <v>1.6722408026755842E-2</v>
      </c>
      <c r="O11" s="8">
        <v>10.680999999999999</v>
      </c>
      <c r="P11" s="8">
        <v>10.17</v>
      </c>
      <c r="Q11" s="9">
        <f t="shared" si="3"/>
        <v>4.7841962363074586E-2</v>
      </c>
    </row>
    <row r="12" spans="1:17" x14ac:dyDescent="0.25">
      <c r="A12" s="18" t="s">
        <v>9</v>
      </c>
      <c r="B12" s="8">
        <v>8050.0649999999996</v>
      </c>
      <c r="C12" s="8">
        <v>2372.5430000000001</v>
      </c>
      <c r="D12" s="8">
        <v>8328.2099999999991</v>
      </c>
      <c r="E12" s="8">
        <v>2465.2199999999998</v>
      </c>
      <c r="F12" s="9">
        <f t="shared" si="0"/>
        <v>3.4551894922587589E-2</v>
      </c>
      <c r="G12" s="9">
        <f t="shared" si="0"/>
        <v>3.9062305720064749E-2</v>
      </c>
      <c r="H12" s="8" t="s">
        <v>18</v>
      </c>
      <c r="I12" s="8">
        <v>20.457999999999998</v>
      </c>
      <c r="J12" s="8">
        <v>20.170000000000002</v>
      </c>
      <c r="K12" s="9">
        <f t="shared" si="1"/>
        <v>1.4077622445986759E-2</v>
      </c>
      <c r="L12" s="8">
        <v>20.469000000000001</v>
      </c>
      <c r="M12" s="8">
        <v>20.28</v>
      </c>
      <c r="N12" s="9">
        <f t="shared" si="2"/>
        <v>9.2334750109922537E-3</v>
      </c>
      <c r="O12" s="8">
        <v>21.221</v>
      </c>
      <c r="P12" s="8">
        <v>20.36</v>
      </c>
      <c r="Q12" s="9">
        <f t="shared" si="3"/>
        <v>4.0573017294189717E-2</v>
      </c>
    </row>
    <row r="13" spans="1:17" x14ac:dyDescent="0.25">
      <c r="A13" s="18"/>
      <c r="B13" s="8"/>
      <c r="C13" s="8"/>
      <c r="D13" s="8"/>
      <c r="E13" s="8"/>
      <c r="F13" s="9"/>
      <c r="G13" s="9"/>
      <c r="H13" s="8"/>
      <c r="I13" s="8"/>
      <c r="J13" s="8"/>
      <c r="K13" s="9">
        <f>AVERAGE(K11:K12)</f>
        <v>9.2928292551375802E-3</v>
      </c>
      <c r="L13" s="8"/>
      <c r="M13" s="8"/>
      <c r="N13" s="9">
        <f>AVERAGE(N11:N12)</f>
        <v>1.2977941518874048E-2</v>
      </c>
      <c r="O13" s="8"/>
      <c r="P13" s="8"/>
      <c r="Q13" s="9">
        <f>AVERAGE(Q11:Q12)</f>
        <v>4.4207489828632152E-2</v>
      </c>
    </row>
    <row r="14" spans="1:17" x14ac:dyDescent="0.25">
      <c r="A14" s="16" t="s">
        <v>9</v>
      </c>
      <c r="B14" s="12">
        <v>1079.2360000000001</v>
      </c>
      <c r="C14" s="12">
        <v>707.34</v>
      </c>
      <c r="D14" s="12">
        <v>1164.6500000000001</v>
      </c>
      <c r="E14" s="12">
        <v>739.59</v>
      </c>
      <c r="F14" s="13">
        <f t="shared" si="0"/>
        <v>7.9143023398033474E-2</v>
      </c>
      <c r="G14" s="13">
        <f t="shared" si="0"/>
        <v>4.5593349732801824E-2</v>
      </c>
      <c r="H14" s="12" t="s">
        <v>28</v>
      </c>
      <c r="I14" s="12">
        <v>7.0869999999999997</v>
      </c>
      <c r="J14" s="12">
        <v>7.04</v>
      </c>
      <c r="K14" s="13">
        <f t="shared" si="1"/>
        <v>6.631861154225982E-3</v>
      </c>
      <c r="L14" s="12">
        <v>7.44</v>
      </c>
      <c r="M14" s="12">
        <v>7.04</v>
      </c>
      <c r="N14" s="13">
        <f t="shared" si="2"/>
        <v>5.3763440860215117E-2</v>
      </c>
      <c r="O14" s="12">
        <v>29.991</v>
      </c>
      <c r="P14" s="12">
        <v>29.92</v>
      </c>
      <c r="Q14" s="13">
        <f t="shared" si="3"/>
        <v>2.3673768797305428E-3</v>
      </c>
    </row>
    <row r="15" spans="1:17" x14ac:dyDescent="0.25">
      <c r="A15" s="16" t="s">
        <v>13</v>
      </c>
      <c r="B15" s="12">
        <v>3010.4479999999999</v>
      </c>
      <c r="C15" s="12">
        <v>1381.509</v>
      </c>
      <c r="D15" s="12">
        <v>3204.03</v>
      </c>
      <c r="E15" s="12">
        <v>1431.04</v>
      </c>
      <c r="F15" s="13">
        <f t="shared" si="0"/>
        <v>6.4303386074099356E-2</v>
      </c>
      <c r="G15" s="13">
        <f t="shared" si="0"/>
        <v>3.5852824701105845E-2</v>
      </c>
      <c r="H15" s="12" t="s">
        <v>21</v>
      </c>
      <c r="I15" s="12">
        <v>10.141</v>
      </c>
      <c r="J15" s="12">
        <v>10.08</v>
      </c>
      <c r="K15" s="13">
        <f t="shared" si="1"/>
        <v>6.0151858791046564E-3</v>
      </c>
      <c r="L15" s="12">
        <v>10.25</v>
      </c>
      <c r="M15" s="12">
        <v>10.08</v>
      </c>
      <c r="N15" s="13">
        <f t="shared" si="2"/>
        <v>1.6585365853658551E-2</v>
      </c>
      <c r="O15" s="12">
        <v>40.253999999999998</v>
      </c>
      <c r="P15" s="12">
        <v>40.15</v>
      </c>
      <c r="Q15" s="13">
        <f t="shared" si="3"/>
        <v>2.5835941769761783E-3</v>
      </c>
    </row>
    <row r="16" spans="1:17" ht="15.75" thickBot="1" x14ac:dyDescent="0.3">
      <c r="A16" s="35" t="s">
        <v>8</v>
      </c>
      <c r="B16" s="36">
        <v>8482.2630000000008</v>
      </c>
      <c r="C16" s="36">
        <v>2667.703</v>
      </c>
      <c r="D16" s="36">
        <v>8908.92</v>
      </c>
      <c r="E16" s="36">
        <v>2726.92</v>
      </c>
      <c r="F16" s="37">
        <f t="shared" si="0"/>
        <v>5.0299902278436726E-2</v>
      </c>
      <c r="G16" s="37">
        <f t="shared" si="0"/>
        <v>2.2197748400027972E-2</v>
      </c>
      <c r="H16" s="36" t="s">
        <v>24</v>
      </c>
      <c r="I16" s="36">
        <v>15.313000000000001</v>
      </c>
      <c r="J16" s="12">
        <v>15.02</v>
      </c>
      <c r="K16" s="13">
        <f t="shared" si="1"/>
        <v>1.9134069091621519E-2</v>
      </c>
      <c r="L16" s="12">
        <v>15.586</v>
      </c>
      <c r="M16" s="12">
        <v>15.02</v>
      </c>
      <c r="N16" s="13">
        <f t="shared" si="2"/>
        <v>3.6314641344796672E-2</v>
      </c>
      <c r="O16" s="12">
        <v>50.468000000000004</v>
      </c>
      <c r="P16" s="12">
        <v>50.28</v>
      </c>
      <c r="Q16" s="13">
        <f t="shared" si="3"/>
        <v>3.7251327573908366E-3</v>
      </c>
    </row>
    <row r="17" spans="1:17" x14ac:dyDescent="0.25">
      <c r="A17" s="43"/>
      <c r="B17" s="43"/>
      <c r="C17" s="43"/>
      <c r="D17" s="43"/>
      <c r="E17" s="43"/>
      <c r="F17" s="44"/>
      <c r="G17" s="44"/>
      <c r="H17" s="43"/>
      <c r="I17" s="43"/>
      <c r="J17" s="43"/>
      <c r="K17" s="44">
        <f>AVERAGE(K14:K16)</f>
        <v>1.0593705374984053E-2</v>
      </c>
      <c r="L17" s="43"/>
      <c r="M17" s="43"/>
      <c r="N17" s="44">
        <f>AVERAGE(N14:N16)</f>
        <v>3.5554482686223444E-2</v>
      </c>
      <c r="O17" s="43"/>
      <c r="P17" s="43"/>
      <c r="Q17" s="44">
        <f>AVERAGE(Q14:Q16)</f>
        <v>2.892034604699186E-3</v>
      </c>
    </row>
    <row r="18" spans="1:17" x14ac:dyDescent="0.25">
      <c r="B18" t="s">
        <v>34</v>
      </c>
      <c r="D18" t="s">
        <v>35</v>
      </c>
      <c r="F18" s="1">
        <f t="shared" ref="F18:J18" si="4">AVERAGE(F2:F5,F7:F9,F14:F16)</f>
        <v>6.7142461925109059E-2</v>
      </c>
      <c r="G18" s="1">
        <f t="shared" si="4"/>
        <v>3.7356226262615679E-2</v>
      </c>
      <c r="H18" s="1"/>
      <c r="I18" s="1"/>
      <c r="J18" s="1"/>
      <c r="K18" s="1">
        <f>AVERAGE(K2:K5,K7:K9,K14:K16)</f>
        <v>5.1177244579283777E-2</v>
      </c>
      <c r="L18" s="1"/>
      <c r="M18" s="1"/>
      <c r="N18" s="1">
        <f t="shared" ref="N18:Q18" si="5">AVERAGE(N2:N5,N7:N9,N14:N16)</f>
        <v>2.190822818176872E-2</v>
      </c>
      <c r="O18" s="1"/>
      <c r="P18" s="1"/>
      <c r="Q18" s="1">
        <f t="shared" si="5"/>
        <v>1.5387855288052843E-2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738B6-C602-46EE-9CE0-AE689C8AB822}">
  <dimension ref="A1:Q18"/>
  <sheetViews>
    <sheetView tabSelected="1" zoomScale="115" zoomScaleNormal="115" workbookViewId="0">
      <selection activeCell="F18" sqref="F18:Q18"/>
    </sheetView>
  </sheetViews>
  <sheetFormatPr defaultRowHeight="15" x14ac:dyDescent="0.25"/>
  <cols>
    <col min="3" max="3" width="16" customWidth="1"/>
    <col min="8" max="8" width="20.140625" customWidth="1"/>
  </cols>
  <sheetData>
    <row r="1" spans="1:17" ht="15.75" thickBot="1" x14ac:dyDescent="0.3">
      <c r="A1" s="23" t="s">
        <v>0</v>
      </c>
      <c r="B1" s="24" t="s">
        <v>1</v>
      </c>
      <c r="C1" s="24" t="s">
        <v>2</v>
      </c>
      <c r="D1" s="24" t="s">
        <v>6</v>
      </c>
      <c r="E1" s="24" t="s">
        <v>7</v>
      </c>
      <c r="F1" s="25" t="s">
        <v>15</v>
      </c>
      <c r="G1" s="25" t="s">
        <v>16</v>
      </c>
      <c r="H1" s="24" t="s">
        <v>32</v>
      </c>
      <c r="I1" s="24" t="s">
        <v>3</v>
      </c>
      <c r="J1" s="24" t="s">
        <v>33</v>
      </c>
      <c r="K1" s="25" t="s">
        <v>29</v>
      </c>
      <c r="L1" s="24" t="s">
        <v>4</v>
      </c>
      <c r="M1" s="24"/>
      <c r="N1" s="25" t="s">
        <v>30</v>
      </c>
      <c r="O1" s="24" t="s">
        <v>5</v>
      </c>
      <c r="P1" s="24"/>
      <c r="Q1" s="26" t="s">
        <v>31</v>
      </c>
    </row>
    <row r="2" spans="1:17" ht="15.75" thickBot="1" x14ac:dyDescent="0.3">
      <c r="A2" s="27" t="s">
        <v>10</v>
      </c>
      <c r="B2">
        <v>354.221</v>
      </c>
      <c r="C2">
        <v>292.35500000000002</v>
      </c>
      <c r="D2" s="28">
        <v>380.03</v>
      </c>
      <c r="E2" s="28">
        <v>305.23</v>
      </c>
      <c r="F2" s="29">
        <f>ABS(D2/B2-1)</f>
        <v>7.2861292808726663E-2</v>
      </c>
      <c r="G2" s="29">
        <f>ABS(E2/C2-1)</f>
        <v>4.4038925279198171E-2</v>
      </c>
      <c r="H2" s="28" t="s">
        <v>27</v>
      </c>
      <c r="I2">
        <v>5.15</v>
      </c>
      <c r="J2" s="28">
        <v>5.09</v>
      </c>
      <c r="K2" s="29">
        <f>ABS(J2/I2-1)</f>
        <v>1.1650485436893288E-2</v>
      </c>
      <c r="L2">
        <v>10.058</v>
      </c>
      <c r="M2" s="28">
        <v>9.75</v>
      </c>
      <c r="N2" s="29">
        <f>ABS(M2/L2-1)</f>
        <v>3.0622390137204247E-2</v>
      </c>
      <c r="O2">
        <v>10.147</v>
      </c>
      <c r="P2" s="28">
        <v>9.75</v>
      </c>
      <c r="Q2" s="30">
        <f>ABS(P2/O2-1)</f>
        <v>3.9124864491968059E-2</v>
      </c>
    </row>
    <row r="3" spans="1:17" ht="15.75" thickBot="1" x14ac:dyDescent="0.3">
      <c r="A3" s="31" t="s">
        <v>12</v>
      </c>
      <c r="B3">
        <v>1421.231</v>
      </c>
      <c r="C3">
        <v>897.524</v>
      </c>
      <c r="D3" s="32">
        <v>1590.85</v>
      </c>
      <c r="E3" s="32">
        <v>941.36</v>
      </c>
      <c r="F3" s="33">
        <f t="shared" ref="F3:G16" si="0">ABS(D3/B3-1)</f>
        <v>0.11934653831783848</v>
      </c>
      <c r="G3" s="33">
        <f t="shared" si="0"/>
        <v>4.8841033777369702E-2</v>
      </c>
      <c r="H3" s="32" t="s">
        <v>17</v>
      </c>
      <c r="I3">
        <v>5.2670000000000003</v>
      </c>
      <c r="J3" s="32">
        <v>5.12</v>
      </c>
      <c r="K3" s="29">
        <f t="shared" ref="K3:K15" si="1">ABS(J3/I3-1)</f>
        <v>2.7909625973039698E-2</v>
      </c>
      <c r="L3">
        <v>20.027999999999999</v>
      </c>
      <c r="M3" s="32">
        <v>19.89</v>
      </c>
      <c r="N3" s="29">
        <f t="shared" ref="N3:N16" si="2">ABS(M3/L3-1)</f>
        <v>6.8903535050928166E-3</v>
      </c>
      <c r="O3">
        <v>20.309999999999999</v>
      </c>
      <c r="P3" s="32">
        <v>19.89</v>
      </c>
      <c r="Q3" s="30">
        <f t="shared" ref="Q3:Q16" si="3">ABS(P3/O3-1)</f>
        <v>2.0679468242245092E-2</v>
      </c>
    </row>
    <row r="4" spans="1:17" ht="15.75" thickBot="1" x14ac:dyDescent="0.3">
      <c r="A4" s="31" t="s">
        <v>10</v>
      </c>
      <c r="B4">
        <v>6742.6369999999997</v>
      </c>
      <c r="C4">
        <v>2278.9110000000001</v>
      </c>
      <c r="D4" s="32">
        <v>7146.62</v>
      </c>
      <c r="E4" s="32">
        <v>2374.14</v>
      </c>
      <c r="F4" s="33">
        <f t="shared" si="0"/>
        <v>5.9914689163898416E-2</v>
      </c>
      <c r="G4" s="33">
        <f t="shared" si="0"/>
        <v>4.1787064084556125E-2</v>
      </c>
      <c r="H4" s="32" t="s">
        <v>22</v>
      </c>
      <c r="I4">
        <v>10.153</v>
      </c>
      <c r="J4" s="32">
        <v>10.029999999999999</v>
      </c>
      <c r="K4" s="29">
        <f t="shared" si="1"/>
        <v>1.2114645917462918E-2</v>
      </c>
      <c r="L4">
        <v>30.052</v>
      </c>
      <c r="M4" s="32">
        <v>30.12</v>
      </c>
      <c r="N4" s="29">
        <f t="shared" si="2"/>
        <v>2.2627445760681208E-3</v>
      </c>
      <c r="O4">
        <v>30.172000000000001</v>
      </c>
      <c r="P4" s="32">
        <v>30.12</v>
      </c>
      <c r="Q4" s="30">
        <f t="shared" si="3"/>
        <v>1.7234522073446001E-3</v>
      </c>
    </row>
    <row r="5" spans="1:17" x14ac:dyDescent="0.25">
      <c r="A5" s="31" t="s">
        <v>8</v>
      </c>
      <c r="B5">
        <v>12066.727999999999</v>
      </c>
      <c r="C5">
        <v>3696.402</v>
      </c>
      <c r="D5" s="32">
        <v>12503.34</v>
      </c>
      <c r="E5" s="32">
        <v>3746.69</v>
      </c>
      <c r="F5" s="33">
        <f t="shared" si="0"/>
        <v>3.6183131002870184E-2</v>
      </c>
      <c r="G5" s="33">
        <f t="shared" si="0"/>
        <v>1.3604580887035533E-2</v>
      </c>
      <c r="H5" s="32" t="s">
        <v>25</v>
      </c>
      <c r="I5">
        <v>10.413</v>
      </c>
      <c r="J5" s="32">
        <v>10.039999999999999</v>
      </c>
      <c r="K5" s="29">
        <f t="shared" si="1"/>
        <v>3.5820608854316816E-2</v>
      </c>
      <c r="L5">
        <v>39.948</v>
      </c>
      <c r="M5" s="32">
        <v>39.82</v>
      </c>
      <c r="N5" s="29">
        <f t="shared" si="2"/>
        <v>3.2041654150395393E-3</v>
      </c>
      <c r="O5">
        <v>40.158999999999999</v>
      </c>
      <c r="P5" s="32">
        <v>39.82</v>
      </c>
      <c r="Q5" s="30">
        <f t="shared" si="3"/>
        <v>8.4414452551109243E-3</v>
      </c>
    </row>
    <row r="6" spans="1:17" x14ac:dyDescent="0.25">
      <c r="A6" s="31"/>
      <c r="B6" s="32"/>
      <c r="C6" s="32"/>
      <c r="D6" s="32"/>
      <c r="E6" s="32"/>
      <c r="F6" s="33"/>
      <c r="G6" s="33"/>
      <c r="H6" s="32"/>
      <c r="I6" s="32"/>
      <c r="J6" s="32"/>
      <c r="K6" s="42">
        <f>AVERAGE(K2:K5)</f>
        <v>2.187384154542818E-2</v>
      </c>
      <c r="L6" s="32"/>
      <c r="M6" s="32"/>
      <c r="N6" s="42">
        <f>AVERAGE(N2:N5)</f>
        <v>1.0744913408351181E-2</v>
      </c>
      <c r="O6" s="32"/>
      <c r="P6" s="32"/>
      <c r="Q6" s="42">
        <f>AVERAGE(Q2:Q5)</f>
        <v>1.7492307549167169E-2</v>
      </c>
    </row>
    <row r="7" spans="1:17" x14ac:dyDescent="0.25">
      <c r="A7" s="14" t="s">
        <v>14</v>
      </c>
      <c r="B7">
        <v>945.07100000000003</v>
      </c>
      <c r="C7">
        <v>664.428</v>
      </c>
      <c r="D7" s="10">
        <v>1050.9000000000001</v>
      </c>
      <c r="E7" s="10">
        <v>717.44</v>
      </c>
      <c r="F7" s="11">
        <f t="shared" si="0"/>
        <v>0.11197994648021159</v>
      </c>
      <c r="G7" s="11">
        <f t="shared" si="0"/>
        <v>7.9785921123131542E-2</v>
      </c>
      <c r="H7" s="10" t="s">
        <v>20</v>
      </c>
      <c r="I7">
        <v>5.4359999999999999</v>
      </c>
      <c r="J7" s="10">
        <v>5.21</v>
      </c>
      <c r="K7" s="11">
        <f t="shared" si="1"/>
        <v>4.1574687270051536E-2</v>
      </c>
      <c r="L7">
        <v>10.335000000000001</v>
      </c>
      <c r="M7" s="10">
        <v>10.09</v>
      </c>
      <c r="N7" s="11">
        <f t="shared" si="2"/>
        <v>2.370585389453328E-2</v>
      </c>
      <c r="O7">
        <v>20.14</v>
      </c>
      <c r="P7" s="10">
        <v>20.010000000000002</v>
      </c>
      <c r="Q7" s="11">
        <f t="shared" si="3"/>
        <v>6.4548162859979774E-3</v>
      </c>
    </row>
    <row r="8" spans="1:17" x14ac:dyDescent="0.25">
      <c r="A8" s="14" t="s">
        <v>8</v>
      </c>
      <c r="B8">
        <v>1580.0930000000001</v>
      </c>
      <c r="C8">
        <v>1089.5329999999999</v>
      </c>
      <c r="D8" s="10">
        <v>1737.22</v>
      </c>
      <c r="E8" s="10">
        <v>1164.8751999999999</v>
      </c>
      <c r="F8" s="11">
        <f t="shared" si="0"/>
        <v>9.944161514543759E-2</v>
      </c>
      <c r="G8" s="11">
        <f t="shared" si="0"/>
        <v>6.9150911445545971E-2</v>
      </c>
      <c r="H8" s="10" t="s">
        <v>19</v>
      </c>
      <c r="I8">
        <v>5.4180000000000001</v>
      </c>
      <c r="J8" s="10">
        <v>5.32</v>
      </c>
      <c r="K8" s="11">
        <f t="shared" si="1"/>
        <v>1.8087855297157618E-2</v>
      </c>
      <c r="L8">
        <v>8.673</v>
      </c>
      <c r="M8" s="10">
        <v>8.18</v>
      </c>
      <c r="N8" s="11">
        <f t="shared" si="2"/>
        <v>5.6843076213536348E-2</v>
      </c>
      <c r="O8">
        <v>40.704999999999998</v>
      </c>
      <c r="P8" s="10">
        <v>39.92</v>
      </c>
      <c r="Q8" s="11">
        <f t="shared" si="3"/>
        <v>1.9285100110551401E-2</v>
      </c>
    </row>
    <row r="9" spans="1:17" x14ac:dyDescent="0.25">
      <c r="A9" s="14" t="s">
        <v>9</v>
      </c>
      <c r="B9">
        <v>14775.825999999999</v>
      </c>
      <c r="C9">
        <v>4618.509</v>
      </c>
      <c r="D9" s="10">
        <v>15046.34</v>
      </c>
      <c r="E9" s="10">
        <v>4692.88</v>
      </c>
      <c r="F9" s="11">
        <f t="shared" si="0"/>
        <v>1.830787666286815E-2</v>
      </c>
      <c r="G9" s="11">
        <f t="shared" si="0"/>
        <v>1.610281586546658E-2</v>
      </c>
      <c r="H9" s="10" t="s">
        <v>26</v>
      </c>
      <c r="I9">
        <v>10.997</v>
      </c>
      <c r="J9" s="10">
        <v>10.09</v>
      </c>
      <c r="K9" s="11">
        <f t="shared" si="1"/>
        <v>8.247703919250704E-2</v>
      </c>
      <c r="L9">
        <v>25.483000000000001</v>
      </c>
      <c r="M9" s="10">
        <v>24.92</v>
      </c>
      <c r="N9" s="11">
        <f t="shared" si="2"/>
        <v>2.2093160145979618E-2</v>
      </c>
      <c r="O9">
        <v>60.661999999999999</v>
      </c>
      <c r="P9" s="10">
        <v>59.84</v>
      </c>
      <c r="Q9" s="11">
        <f t="shared" si="3"/>
        <v>1.3550492895057831E-2</v>
      </c>
    </row>
    <row r="10" spans="1:17" x14ac:dyDescent="0.25">
      <c r="A10" s="14"/>
      <c r="B10" s="10"/>
      <c r="C10" s="10"/>
      <c r="D10" s="10"/>
      <c r="E10" s="10"/>
      <c r="F10" s="11"/>
      <c r="G10" s="11"/>
      <c r="H10" s="10"/>
      <c r="I10" s="10"/>
      <c r="J10" s="10"/>
      <c r="K10" s="11">
        <f>AVERAGE(K7:K9)</f>
        <v>4.7379860586572065E-2</v>
      </c>
      <c r="L10" s="10"/>
      <c r="M10" s="10"/>
      <c r="N10" s="11">
        <f>AVERAGE(N7:N9)</f>
        <v>3.4214030084683079E-2</v>
      </c>
      <c r="O10" s="10"/>
      <c r="P10" s="10"/>
      <c r="Q10" s="11">
        <f>AVERAGE(Q7:Q9)</f>
        <v>1.3096803097202403E-2</v>
      </c>
    </row>
    <row r="11" spans="1:17" x14ac:dyDescent="0.25">
      <c r="A11" s="18"/>
      <c r="B11" s="8"/>
      <c r="C11" s="8"/>
      <c r="D11" s="8"/>
      <c r="E11" s="8"/>
      <c r="F11" s="9"/>
      <c r="G11" s="9"/>
      <c r="H11" s="8"/>
      <c r="I11" s="8"/>
      <c r="J11" s="8"/>
      <c r="K11" s="9"/>
      <c r="L11" s="8"/>
      <c r="M11" s="8"/>
      <c r="N11" s="9"/>
      <c r="O11" s="8"/>
      <c r="P11" s="8"/>
      <c r="Q11" s="9"/>
    </row>
    <row r="12" spans="1:17" x14ac:dyDescent="0.25">
      <c r="A12" s="18"/>
      <c r="B12" s="8"/>
      <c r="C12" s="8"/>
      <c r="D12" s="8"/>
      <c r="E12" s="8"/>
      <c r="F12" s="9"/>
      <c r="G12" s="9"/>
      <c r="H12" s="8"/>
      <c r="I12" s="8"/>
      <c r="J12" s="8"/>
      <c r="K12" s="9"/>
      <c r="L12" s="8"/>
      <c r="M12" s="8"/>
      <c r="N12" s="9"/>
      <c r="O12" s="8"/>
      <c r="P12" s="8"/>
      <c r="Q12" s="9"/>
    </row>
    <row r="13" spans="1:17" x14ac:dyDescent="0.25">
      <c r="A13" s="18"/>
      <c r="B13" s="8"/>
      <c r="C13" s="8"/>
      <c r="D13" s="8"/>
      <c r="E13" s="8"/>
      <c r="F13" s="9"/>
      <c r="G13" s="9"/>
      <c r="H13" s="8"/>
      <c r="I13" s="8"/>
      <c r="J13" s="8"/>
      <c r="K13" s="9"/>
      <c r="L13" s="8"/>
      <c r="M13" s="8"/>
      <c r="N13" s="9"/>
      <c r="O13" s="8"/>
      <c r="P13" s="8"/>
      <c r="Q13" s="9"/>
    </row>
    <row r="14" spans="1:17" x14ac:dyDescent="0.25">
      <c r="A14" s="16" t="s">
        <v>9</v>
      </c>
      <c r="B14">
        <v>995.95899999999995</v>
      </c>
      <c r="C14">
        <v>718.16200000000003</v>
      </c>
      <c r="D14" s="12">
        <v>1164.6500000000001</v>
      </c>
      <c r="E14" s="12">
        <v>739.59</v>
      </c>
      <c r="F14" s="13">
        <f t="shared" si="0"/>
        <v>0.16937544617800548</v>
      </c>
      <c r="G14" s="13">
        <f t="shared" si="0"/>
        <v>2.9837279054029553E-2</v>
      </c>
      <c r="H14" s="12" t="s">
        <v>28</v>
      </c>
      <c r="I14">
        <v>7.3879999999999999</v>
      </c>
      <c r="J14" s="12">
        <v>7.04</v>
      </c>
      <c r="K14" s="13">
        <f t="shared" si="1"/>
        <v>4.7103410936654044E-2</v>
      </c>
      <c r="L14">
        <v>7.9409999999999998</v>
      </c>
      <c r="M14" s="12">
        <v>7.04</v>
      </c>
      <c r="N14" s="13">
        <f t="shared" si="2"/>
        <v>0.11346178063216217</v>
      </c>
      <c r="O14">
        <v>30.327000000000002</v>
      </c>
      <c r="P14" s="12">
        <v>29.92</v>
      </c>
      <c r="Q14" s="13">
        <f t="shared" si="3"/>
        <v>1.3420384475879565E-2</v>
      </c>
    </row>
    <row r="15" spans="1:17" x14ac:dyDescent="0.25">
      <c r="A15" s="16" t="s">
        <v>13</v>
      </c>
      <c r="B15">
        <v>2704.9349999999999</v>
      </c>
      <c r="C15">
        <v>1364.521</v>
      </c>
      <c r="D15" s="12">
        <v>3204.03</v>
      </c>
      <c r="E15" s="12">
        <v>1431.04</v>
      </c>
      <c r="F15" s="13">
        <f t="shared" si="0"/>
        <v>0.1845127516927394</v>
      </c>
      <c r="G15" s="13">
        <f t="shared" si="0"/>
        <v>4.8748974915006738E-2</v>
      </c>
      <c r="H15" s="12" t="s">
        <v>21</v>
      </c>
      <c r="I15">
        <v>10.513</v>
      </c>
      <c r="J15" s="12">
        <v>10.08</v>
      </c>
      <c r="K15" s="13">
        <f t="shared" si="1"/>
        <v>4.1187101683629823E-2</v>
      </c>
      <c r="L15">
        <v>11.172000000000001</v>
      </c>
      <c r="M15" s="12">
        <v>10.08</v>
      </c>
      <c r="N15" s="13">
        <f t="shared" si="2"/>
        <v>9.7744360902255689E-2</v>
      </c>
      <c r="O15">
        <v>40.156999999999996</v>
      </c>
      <c r="P15" s="12">
        <v>40.15</v>
      </c>
      <c r="Q15" s="13">
        <f t="shared" si="3"/>
        <v>1.7431581044391464E-4</v>
      </c>
    </row>
    <row r="16" spans="1:17" ht="15.75" thickBot="1" x14ac:dyDescent="0.3">
      <c r="A16" s="35" t="s">
        <v>8</v>
      </c>
      <c r="B16">
        <v>8622.0400000000009</v>
      </c>
      <c r="C16">
        <v>2685.1709999999998</v>
      </c>
      <c r="D16" s="36">
        <v>8908.92</v>
      </c>
      <c r="E16" s="36">
        <v>2726.92</v>
      </c>
      <c r="F16" s="37">
        <f t="shared" si="0"/>
        <v>3.3272868137934841E-2</v>
      </c>
      <c r="G16" s="37">
        <f t="shared" si="0"/>
        <v>1.5547985584530855E-2</v>
      </c>
      <c r="H16" s="36" t="s">
        <v>24</v>
      </c>
      <c r="I16">
        <v>15.387</v>
      </c>
      <c r="J16" s="12">
        <v>15.02</v>
      </c>
      <c r="K16" s="13">
        <f>ABS(J16/I16-1)</f>
        <v>2.3851303048027628E-2</v>
      </c>
      <c r="L16">
        <v>15.907999999999999</v>
      </c>
      <c r="M16" s="12">
        <v>15.02</v>
      </c>
      <c r="N16" s="13">
        <f t="shared" si="2"/>
        <v>5.582097058083979E-2</v>
      </c>
      <c r="O16">
        <v>49.932000000000002</v>
      </c>
      <c r="P16" s="12">
        <v>50.28</v>
      </c>
      <c r="Q16" s="13">
        <f t="shared" si="3"/>
        <v>6.9694784907474716E-3</v>
      </c>
    </row>
    <row r="17" spans="1:17" x14ac:dyDescent="0.25">
      <c r="A17" s="43"/>
      <c r="E17" s="43"/>
      <c r="F17" s="44">
        <f>AVERAGE(F14:F16)</f>
        <v>0.12905368866955991</v>
      </c>
      <c r="G17" s="44">
        <f>AVERAGE(G14:G16)</f>
        <v>3.1378079851189046E-2</v>
      </c>
      <c r="H17" s="43"/>
      <c r="I17" s="43"/>
      <c r="J17" s="43"/>
      <c r="K17" s="44">
        <f>AVERAGE(K14:K16)</f>
        <v>3.7380605222770501E-2</v>
      </c>
      <c r="L17" s="43"/>
      <c r="M17" s="43"/>
      <c r="N17" s="44">
        <f>AVERAGE(N14:N16)</f>
        <v>8.9009037371752545E-2</v>
      </c>
      <c r="O17" s="43"/>
      <c r="P17" s="43"/>
      <c r="Q17" s="44">
        <f>AVERAGE(Q14:Q16)</f>
        <v>6.8547262590236508E-3</v>
      </c>
    </row>
    <row r="18" spans="1:17" x14ac:dyDescent="0.25">
      <c r="B18" t="s">
        <v>34</v>
      </c>
      <c r="D18" t="s">
        <v>35</v>
      </c>
      <c r="F18" s="1">
        <f t="shared" ref="F18:J18" si="4">AVERAGE(F2:F5,F7:F9,F14:F16)</f>
        <v>9.0519615559053079E-2</v>
      </c>
      <c r="G18" s="1">
        <f t="shared" si="4"/>
        <v>4.0744549201587078E-2</v>
      </c>
      <c r="H18" s="1"/>
      <c r="I18" s="1"/>
      <c r="J18" s="1"/>
      <c r="K18" s="1">
        <f>AVERAGE(K2:K5,K7:K9,K14:K16)</f>
        <v>3.4177676360974039E-2</v>
      </c>
      <c r="L18" s="1"/>
      <c r="M18" s="1"/>
      <c r="N18" s="1">
        <f t="shared" ref="L18:Q18" si="5">AVERAGE(N2:N5,N7:N9,N14:N16)</f>
        <v>4.126488560027116E-2</v>
      </c>
      <c r="O18" s="1"/>
      <c r="P18" s="1"/>
      <c r="Q18" s="1">
        <f t="shared" si="5"/>
        <v>1.2982381826534684E-2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 Ninh Nguyen</cp:lastModifiedBy>
  <dcterms:created xsi:type="dcterms:W3CDTF">2025-02-02T14:00:08Z</dcterms:created>
  <dcterms:modified xsi:type="dcterms:W3CDTF">2025-02-24T04:12:30Z</dcterms:modified>
</cp:coreProperties>
</file>